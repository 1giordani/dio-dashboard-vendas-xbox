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6b4340032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f699f11ae54535"/>
    <x:sheet xmlns:r="http://schemas.openxmlformats.org/officeDocument/2006/relationships" name="Análise" sheetId="2" r:id="Rdc07095ba7d945b2"/>
    <x:sheet xmlns:r="http://schemas.openxmlformats.org/officeDocument/2006/relationships" name="Base de Dados" sheetId="3" r:id="Re12c489099d8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&quot;US$&quot; #,##0.00"/>
    <x:numFmt numFmtId="202" formatCode="mmm yyyy"/>
    <x:numFmt numFmtId="203" formatCode="#,##0"/>
  </x:numFmts>
  <x:fonts count="12">
    <x:font>
      <x:sz val="11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4"/>
      <x:color rgb="FF202124"/>
      <x:name val="Arial"/>
    </x:font>
    <x:font>
      <x:b/>
      <x:sz val="16"/>
      <x:color rgb="FF202124"/>
      <x:name val="Arial"/>
    </x:font>
    <x:font>
      <x:i/>
      <x:sz val="10"/>
      <x:color rgb="FF5F6368"/>
      <x:name val="Arial"/>
    </x:font>
    <x:font>
      <x:b/>
      <x:sz val="10"/>
      <x:color rgb="FF5F6368"/>
      <x:name val="Arial"/>
    </x:font>
    <x:font>
      <x:b/>
      <x:sz val="16"/>
      <x:color rgb="FF107C10"/>
      <x:name val="Arial"/>
    </x:font>
    <x:font>
      <x:b/>
      <x:sz val="11"/>
      <x:color rgb="FF202124"/>
      <x:name val="Arial"/>
    </x:font>
    <x:font>
      <x:sz val="11"/>
      <x:color rgb="FF202124"/>
      <x:name val="Arial"/>
    </x:font>
    <x:font>
      <x:i/>
      <x:sz val="10"/>
      <x:color rgb="FF202124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7C10"/>
      </x:patternFill>
    </x:fill>
    <x:fill>
      <x:patternFill patternType="solid">
        <x:fgColor rgb="FFF3F5F7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3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201" fontId="7" fillId="3" borderId="0" xfId="0" applyNumberFormat="1" applyFont="1" applyFill="1" applyBorder="1" applyAlignment="1">
      <x:alignment horizontal="center" vertical="center"/>
    </x:xf>
    <x:xf numFmtId="203" fontId="7" fillId="3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201" fontId="4" fillId="3" borderId="0" xfId="0" applyNumberFormat="1" applyFont="1" applyFill="1" applyBorder="1" applyAlignment="1">
      <x:alignment horizontal="center" vertical="center"/>
    </x:xf>
    <x:xf numFmtId="203" fontId="4" fillId="3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b252849064283" /><Relationship Type="http://schemas.openxmlformats.org/officeDocument/2006/relationships/theme" Target="/xl/theme/theme1.xml" Id="Rb84c5fbaf8db4c62" /><Relationship Type="http://schemas.openxmlformats.org/officeDocument/2006/relationships/sharedStrings" Target="/xl/sharedStrings.xml" Id="Re0744be6e9e94eff" /><Relationship Type="http://schemas.openxmlformats.org/officeDocument/2006/relationships/worksheet" Target="/xl/worksheets/sheet1.xml" Id="Rcbf699f11ae54535" /><Relationship Type="http://schemas.openxmlformats.org/officeDocument/2006/relationships/worksheet" Target="/xl/worksheets/sheet2.xml" Id="Rdc07095ba7d945b2" /><Relationship Type="http://schemas.openxmlformats.org/officeDocument/2006/relationships/worksheet" Target="/xl/worksheets/sheet3.xml" Id="Re12c489099d84c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eafaccdfd548cc" /><Relationship Type="http://schemas.openxmlformats.org/officeDocument/2006/relationships/chart" Target="/xl/drawings/charts/chart2.xml" Id="R5a08389184184797" /><Relationship Type="http://schemas.openxmlformats.org/officeDocument/2006/relationships/chart" Target="/xl/drawings/charts/chart3.xml" Id="R2cf6f0d97fa24cff" /><Relationship Type="http://schemas.openxmlformats.org/officeDocument/2006/relationships/chart" Target="/xl/drawings/charts/chart4.xml" Id="Rb7a3db7fe7964f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mensal (US$)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Valor total (US$)</c:v>
          </c:tx>
          <c:marker>
            <c:symbol val="none"/>
          </c:marker>
          <c:cat>
            <c:strRef>
              <c:f>'Dashboard'!$T$2:$T$13</c:f>
              <c:strCache>
                <c:ptCount val="0"/>
              </c:strCache>
            </c:strRef>
          </c:cat>
          <c:val>
            <c:numRef>
              <c:f>'Dashboard'!$U$2:$U$13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plano (US$)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 total (US$)</c:v>
          </c:tx>
          <c:cat>
            <c:strRef>
              <c:f>'Dashboard'!$T$17:$T$19</c:f>
              <c:strCache>
                <c:ptCount val="0"/>
              </c:strCache>
            </c:strRef>
          </c:cat>
          <c:val>
            <c:numRef>
              <c:f>'Dashboard'!$U$17:$U$19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periodicidade (US$)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 total (US$)</c:v>
          </c:tx>
          <c:cat>
            <c:strRef>
              <c:f>'Dashboard'!$T$23:$T$25</c:f>
              <c:strCache>
                <c:ptCount val="0"/>
              </c:strCache>
            </c:strRef>
          </c:cat>
          <c:val>
            <c:numRef>
              <c:f>'Dashboard'!$U$23:$U$25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Vendas adicionais (US$)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 total (US$)</c:v>
          </c:tx>
          <c:cat>
            <c:strRef>
              <c:f>'Dashboard'!$T$29:$T$30</c:f>
              <c:strCache>
                <c:ptCount val="0"/>
              </c:strCache>
            </c:strRef>
          </c:cat>
          <c:val>
            <c:numRef>
              <c:f>'Dashboard'!$U$29:$U$30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8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eafaccdfd548cc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08389184184797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f6f0d97fa24cff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3db7fe7964f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ndasAssinaturas" displayName="VendasAssinaturas" ref="A1:M296" headerRowCount="1" totalsRowCount="0" totalsRowShown="0">
  <x:tableColumns count="13">
    <x:tableColumn id="1" name="ID do assinante"/>
    <x:tableColumn id="2" name="Nome"/>
    <x:tableColumn id="3" name="Plano"/>
    <x:tableColumn id="4" name="Data de início"/>
    <x:tableColumn id="5" name="Renovação automática"/>
    <x:tableColumn id="6" name="Preço da assinatura (US$)"/>
    <x:tableColumn id="7" name="Periodicidade"/>
    <x:tableColumn id="8" name="EA Play incluído"/>
    <x:tableColumn id="9" name="Preço EA Play (US$)"/>
    <x:tableColumn id="10" name="Minecraft incluído"/>
    <x:tableColumn id="11" name="Preço Minecraft (US$)"/>
    <x:tableColumn id="12" name="Cupom (US$)"/>
    <x:tableColumn id="13" name="Valor total (US$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6041bce0d24e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7ebdb15269f4546" /></Relationships>
</file>

<file path=xl/worksheets/sheet1.xml><?xml version="1.0" encoding="utf-8"?>
<x:worksheet xmlns:x="http://schemas.openxmlformats.org/spreadsheetml/2006/main">
  <x:sheetPr>
    <x:tabColor rgb="FF107C10"/>
  </x:sheetPr>
  <x:sheetViews>
    <x:sheetView showGridLines="0" workbookViewId="0"/>
  </x:sheetViews>
  <x:sheetFormatPr defaultRowHeight="15"/>
  <x:cols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T1" t="str">
        <x:v>Mês</x:v>
      </x:c>
      <x:c r="U1" t="str">
        <x:v>Valor total (US$)</x:v>
      </x:c>
    </x:row>
    <x:row r="2" ht="30" customHeight="1">
      <x:c r="B2" s="20" t="str">
        <x:v>VENDAS DE ASSINATURAS XBOX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T2" t="str">
        <x:v>Jan</x:v>
      </x:c>
      <x:c r="U2" t="n">
        <x:f>'Análise'!B22</x:f>
        <x:v>65</x:v>
      </x:c>
    </x:row>
    <x:row r="3" ht="22" customHeight="1">
      <x:c r="B3" s="37" t="str">
        <x:v>Período analisado: jan–dez 2024  |  Valores em dólares americanos</x:v>
      </x:c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T3" t="str">
        <x:v>Fev</x:v>
      </x:c>
      <x:c r="U3" t="n">
        <x:f>'Análise'!B23</x:f>
        <x:v>82</x:v>
      </x:c>
    </x:row>
    <x:row r="4"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T4" t="str">
        <x:v>Mar</x:v>
      </x:c>
      <x:c r="U4" t="n">
        <x:f>'Análise'!B24</x:f>
        <x:v>801</x:v>
      </x:c>
    </x:row>
    <x:row r="5" ht="27" customHeight="1">
      <x:c r="B5" s="38" t="str">
        <x:v>Faturamento total</x:v>
      </x:c>
      <x:c r="C5" s="36"/>
      <x:c r="D5" s="36"/>
      <x:c r="E5" s="36"/>
      <x:c r="F5" s="38" t="str">
        <x:v>Assinaturas vendidas</x:v>
      </x:c>
      <x:c r="G5" s="36"/>
      <x:c r="H5" s="36"/>
      <x:c r="I5" s="36"/>
      <x:c r="J5" s="38" t="str">
        <x:v>Ticket médio</x:v>
      </x:c>
      <x:c r="K5" s="36"/>
      <x:c r="L5" s="36"/>
      <x:c r="M5" s="36"/>
      <x:c r="N5" s="38" t="str">
        <x:v>Receita de planos anuais</x:v>
      </x:c>
      <x:c r="O5" s="36"/>
      <x:c r="P5" s="36"/>
      <x:c r="Q5" s="36"/>
      <x:c r="T5" t="str">
        <x:v>Abr</x:v>
      </x:c>
      <x:c r="U5" t="n">
        <x:f>'Análise'!B25</x:f>
        <x:v>782</x:v>
      </x:c>
    </x:row>
    <x:row r="6" ht="27" customHeight="1">
      <x:c r="B6" s="34" t="n">
        <x:f>'Análise'!B4</x:f>
        <x:v>7633</x:v>
      </x:c>
      <x:c r="C6" s="36"/>
      <x:c r="D6" s="36"/>
      <x:c r="E6" s="36"/>
      <x:c r="F6" s="35" t="n">
        <x:f>'Análise'!B5</x:f>
        <x:v>295</x:v>
      </x:c>
      <x:c r="G6" s="36"/>
      <x:c r="H6" s="36"/>
      <x:c r="I6" s="36"/>
      <x:c r="J6" s="34" t="n">
        <x:f>'Análise'!B6</x:f>
        <x:v>25.87457627118644</x:v>
      </x:c>
      <x:c r="K6" s="36"/>
      <x:c r="L6" s="36"/>
      <x:c r="M6" s="36"/>
      <x:c r="N6" s="34" t="n">
        <x:f>'Análise'!B8</x:f>
        <x:v>1754</x:v>
      </x:c>
      <x:c r="O6" s="36"/>
      <x:c r="P6" s="36"/>
      <x:c r="Q6" s="36"/>
      <x:c r="T6" t="str">
        <x:v>Mai</x:v>
      </x:c>
      <x:c r="U6" t="n">
        <x:f>'Análise'!B26</x:f>
        <x:v>777</x:v>
      </x:c>
    </x:row>
    <x:row r="7"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T7" t="str">
        <x:v>Jun</x:v>
      </x:c>
      <x:c r="U7" t="n">
        <x:f>'Análise'!B27</x:f>
        <x:v>770</x:v>
      </x:c>
    </x:row>
    <x:row r="8">
      <x:c r="B8" s="39" t="str">
        <x:v>Faturamento mensal (US$)</x:v>
      </x:c>
      <x:c r="C8" s="36"/>
      <x:c r="D8" s="36"/>
      <x:c r="E8" s="36"/>
      <x:c r="F8" s="36"/>
      <x:c r="G8" s="36"/>
      <x:c r="H8" s="36"/>
      <x:c r="I8" s="36"/>
      <x:c r="J8" s="39" t="str">
        <x:v>Faturamento por plano (US$)</x:v>
      </x:c>
      <x:c r="K8" s="36"/>
      <x:c r="L8" s="36"/>
      <x:c r="M8" s="36"/>
      <x:c r="N8" s="36"/>
      <x:c r="O8" s="36"/>
      <x:c r="P8" s="36"/>
      <x:c r="Q8" s="36"/>
      <x:c r="T8" t="str">
        <x:v>Jul</x:v>
      </x:c>
      <x:c r="U8" t="n">
        <x:f>'Análise'!B28</x:f>
        <x:v>784</x:v>
      </x:c>
    </x:row>
    <x:row r="9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T9" t="str">
        <x:v>Ago</x:v>
      </x:c>
      <x:c r="U9" t="n">
        <x:f>'Análise'!B29</x:f>
        <x:v>787</x:v>
      </x:c>
    </x:row>
    <x:row r="10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T10" t="str">
        <x:v>Set</x:v>
      </x:c>
      <x:c r="U10" t="n">
        <x:f>'Análise'!B30</x:f>
        <x:v>780</x:v>
      </x:c>
    </x:row>
    <x:row r="1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T11" t="str">
        <x:v>Out</x:v>
      </x:c>
      <x:c r="U11" t="n">
        <x:f>'Análise'!B31</x:f>
        <x:v>832</x:v>
      </x:c>
    </x:row>
    <x:row r="12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T12" t="str">
        <x:v>Nov</x:v>
      </x:c>
      <x:c r="U12" t="n">
        <x:f>'Análise'!B32</x:f>
        <x:v>784</x:v>
      </x:c>
    </x:row>
    <x:row r="13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T13" t="str">
        <x:v>Dez</x:v>
      </x:c>
      <x:c r="U13" t="n">
        <x:f>'Análise'!B33</x:f>
        <x:v>389</x:v>
      </x:c>
    </x:row>
    <x:row r="14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</x:row>
    <x:row r="15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</x:row>
    <x:row r="16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T16" t="str">
        <x:v>Plano</x:v>
      </x:c>
      <x:c r="U16" t="str">
        <x:v>Valor total (US$)</x:v>
      </x:c>
    </x:row>
    <x:row r="17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T17" t="str">
        <x:v>Core</x:v>
      </x:c>
      <x:c r="U17" t="n">
        <x:f>'Análise'!B15</x:f>
        <x:v>444</x:v>
      </x:c>
    </x:row>
    <x:row r="18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T18" t="str">
        <x:v>Standard</x:v>
      </x:c>
      <x:c r="U18" t="n">
        <x:f>'Análise'!B16</x:f>
        <x:v>1801</x:v>
      </x:c>
    </x:row>
    <x:row r="19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T19" t="str">
        <x:v>Ultimate</x:v>
      </x:c>
      <x:c r="U19" t="n">
        <x:f>'Análise'!B17</x:f>
        <x:v>5388</x:v>
      </x:c>
    </x:row>
    <x:row r="20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</x:row>
    <x:row r="2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</x:row>
    <x:row r="22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T22" t="str">
        <x:v>Periodicidade</x:v>
      </x:c>
      <x:c r="U22" t="str">
        <x:v>Valor total (US$)</x:v>
      </x:c>
    </x:row>
    <x:row r="23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T23" t="str">
        <x:v>Mensal</x:v>
      </x:c>
      <x:c r="U23" t="n">
        <x:f>'Análise'!E15</x:f>
        <x:v>3571</x:v>
      </x:c>
    </x:row>
    <x:row r="24">
      <x:c r="B24" s="39" t="str">
        <x:v>Faturamento por periodicidade (US$)</x:v>
      </x:c>
      <x:c r="C24" s="36"/>
      <x:c r="D24" s="36"/>
      <x:c r="E24" s="36"/>
      <x:c r="F24" s="36"/>
      <x:c r="G24" s="36"/>
      <x:c r="H24" s="36"/>
      <x:c r="I24" s="36"/>
      <x:c r="J24" s="39" t="str">
        <x:v>Vendas adicionais (US$)</x:v>
      </x:c>
      <x:c r="K24" s="36"/>
      <x:c r="L24" s="36"/>
      <x:c r="M24" s="36"/>
      <x:c r="N24" s="36"/>
      <x:c r="O24" s="36"/>
      <x:c r="P24" s="36"/>
      <x:c r="Q24" s="36"/>
      <x:c r="T24" t="str">
        <x:v>Trimestral</x:v>
      </x:c>
      <x:c r="U24" t="n">
        <x:f>'Análise'!E16</x:f>
        <x:v>2308</x:v>
      </x:c>
    </x:row>
    <x:row r="25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T25" t="str">
        <x:v>Anual</x:v>
      </x:c>
      <x:c r="U25" t="n">
        <x:f>'Análise'!E17</x:f>
        <x:v>1754</x:v>
      </x:c>
    </x:row>
    <x:row r="26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</x:row>
    <x:row r="27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</x:row>
    <x:row r="28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T28" t="str">
        <x:v>Produto adicional</x:v>
      </x:c>
      <x:c r="U28" t="str">
        <x:v>Valor total (US$)</x:v>
      </x:c>
    </x:row>
    <x:row r="29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T29" t="str">
        <x:v>EA Play</x:v>
      </x:c>
      <x:c r="U29" t="n">
        <x:f>'Análise'!E22</x:f>
        <x:v>2940</x:v>
      </x:c>
    </x:row>
    <x:row r="30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T30" t="str">
        <x:v>Minecraft</x:v>
      </x:c>
      <x:c r="U30" t="n">
        <x:f>'Análise'!E23</x:f>
        <x:v>3880</x:v>
      </x:c>
    </x:row>
    <x:row r="3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</x:row>
    <x:row r="32"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</x:row>
    <x:row r="33"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</x:row>
    <x:row r="34"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</x:row>
    <x:row r="35"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</x:row>
    <x:row r="36"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</x:row>
    <x:row r="37"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</x:row>
    <x:row r="38"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</x:row>
    <x:row r="39"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</x:row>
    <x:row r="40"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</x:row>
  </x:sheetData>
  <x:mergeCells>
    <x:mergeCell ref="B2:Q2"/>
    <x:mergeCell ref="B3:Q3"/>
    <x:mergeCell ref="B5:D5"/>
    <x:mergeCell ref="B6:D6"/>
    <x:mergeCell ref="F5:H5"/>
    <x:mergeCell ref="F6:H6"/>
    <x:mergeCell ref="J5:L5"/>
    <x:mergeCell ref="J6:L6"/>
    <x:mergeCell ref="N5:Q5"/>
    <x:mergeCell ref="N6:Q6"/>
  </x:mergeCells>
  <x:pageMargins left="0.7" right="0.7" top="0.75" bottom="0.75" header="0.3" footer="0.3"/>
  <x:drawing xmlns:r="http://schemas.openxmlformats.org/officeDocument/2006/relationships" r:id="Rc26041bce0d24e99"/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4" max="4" width="32" hidden="0" customWidth="1"/>
    <x:col min="5" max="5" width="20" hidden="0" customWidth="1"/>
    <x:col min="7" max="7" width="30" hidden="0" customWidth="1"/>
    <x:col min="8" max="8" width="20" hidden="0" customWidth="1"/>
  </x:cols>
  <x:sheetData>
    <x:row r="1">
      <x:c r="A1" s="10" t="str">
        <x:v>Resumo de vendas</x:v>
      </x:c>
    </x:row>
    <x:row r="3">
      <x:c r="A3" s="13" t="str">
        <x:v>Indicador</x:v>
      </x:c>
      <x:c r="B3" s="13" t="str">
        <x:v>Resultado</x:v>
      </x:c>
    </x:row>
    <x:row r="4">
      <x:c r="A4" s="15" t="str">
        <x:v>Valor total das vendas (US$)</x:v>
      </x:c>
      <x:c r="B4" s="16" t="n">
        <x:f>SUM('Base de Dados'!M2:M1000)</x:f>
        <x:v>7633</x:v>
      </x:c>
    </x:row>
    <x:row r="5">
      <x:c r="A5" s="15" t="str">
        <x:v>Assinaturas vendidas</x:v>
      </x:c>
      <x:c r="B5" s="17" t="n">
        <x:f>COUNT('Base de Dados'!A2:A1000)</x:f>
        <x:v>295</x:v>
      </x:c>
    </x:row>
    <x:row r="6">
      <x:c r="A6" s="15" t="str">
        <x:v>Ticket médio (US$)</x:v>
      </x:c>
      <x:c r="B6" s="16" t="n">
        <x:f>IFERROR(B4/B5,0)</x:f>
        <x:v>25.87457627118644</x:v>
      </x:c>
    </x:row>
    <x:row r="7">
      <x:c r="A7" s="15" t="str">
        <x:v>Vendas com renovação automática</x:v>
      </x:c>
      <x:c r="B7" s="17" t="n">
        <x:f>COUNTIF('Base de Dados'!E2:E1000,"Yes")</x:f>
        <x:v>148</x:v>
      </x:c>
    </x:row>
    <x:row r="8">
      <x:c r="A8" s="15" t="str">
        <x:v>Receita de planos anuais (US$)</x:v>
      </x:c>
      <x:c r="B8" s="16" t="n">
        <x:f>SUMIFS('Base de Dados'!M2:M1000,'Base de Dados'!G2:G1000,"Annual")</x:f>
        <x:v>1754</x:v>
      </x:c>
    </x:row>
    <x:row r="9">
      <x:c r="A9" s="15" t="str">
        <x:v>Vendas de EA Play (US$)</x:v>
      </x:c>
      <x:c r="B9" s="16" t="n">
        <x:f>SUM('Base de Dados'!I2:I1000)</x:f>
        <x:v>2940</x:v>
      </x:c>
    </x:row>
    <x:row r="10">
      <x:c r="A10" s="15" t="str">
        <x:v>Vendas de Minecraft (US$)</x:v>
      </x:c>
      <x:c r="B10" s="16" t="n">
        <x:f>SUM('Base de Dados'!K2:K1000)</x:f>
        <x:v>3880</x:v>
      </x:c>
    </x:row>
    <x:row r="11">
      <x:c r="A11" s="15" t="str">
        <x:v>Descontos aplicados (US$)</x:v>
      </x:c>
      <x:c r="B11" s="16" t="n">
        <x:f>SUM('Base de Dados'!L2:L1000)</x:f>
        <x:v>2122</x:v>
      </x:c>
    </x:row>
    <x:row r="14">
      <x:c r="A14" s="13" t="str">
        <x:v>Vendas por plano</x:v>
      </x:c>
      <x:c r="B14" s="13" t="str">
        <x:v>Valor total (US$)</x:v>
      </x:c>
      <x:c r="D14" s="13" t="str">
        <x:v>Vendas por periodicidade</x:v>
      </x:c>
      <x:c r="E14" s="13" t="str">
        <x:v>Valor total (US$)</x:v>
      </x:c>
      <x:c r="G14" s="13" t="str">
        <x:v>Planos anuais por renovação</x:v>
      </x:c>
      <x:c r="H14" s="13" t="str">
        <x:v>Valor total (US$)</x:v>
      </x:c>
    </x:row>
    <x:row r="15">
      <x:c r="A15" s="6" t="str">
        <x:v>Core</x:v>
      </x:c>
      <x:c r="B15" s="16" t="n">
        <x:f>SUMIFS('Base de Dados'!M$2:M$1000,'Base de Dados'!C$2:C$1000,A15)</x:f>
        <x:v>444</x:v>
      </x:c>
      <x:c r="D15" s="6" t="str">
        <x:v>Mensal</x:v>
      </x:c>
      <x:c r="E15" s="16" t="n">
        <x:f>SUMIFS('Base de Dados'!M$2:M$1000,'Base de Dados'!G$2:G$1000,"Monthly")</x:f>
        <x:v>3571</x:v>
      </x:c>
      <x:c r="G15" s="6" t="str">
        <x:v>Sim</x:v>
      </x:c>
      <x:c r="H15" s="16" t="n">
        <x:f>SUMIFS('Base de Dados'!M$2:M$1000,'Base de Dados'!G$2:G$1000,"Annual",'Base de Dados'!E$2:E$1000,"Yes")</x:f>
        <x:v>1537</x:v>
      </x:c>
    </x:row>
    <x:row r="16">
      <x:c r="A16" s="6" t="str">
        <x:v>Standard</x:v>
      </x:c>
      <x:c r="B16" s="16" t="n">
        <x:f>SUMIFS('Base de Dados'!M$2:M$1000,'Base de Dados'!C$2:C$1000,A16)</x:f>
        <x:v>1801</x:v>
      </x:c>
      <x:c r="D16" s="6" t="str">
        <x:v>Trimestral</x:v>
      </x:c>
      <x:c r="E16" s="16" t="n">
        <x:f>SUMIFS('Base de Dados'!M$2:M$1000,'Base de Dados'!G$2:G$1000,"Quarterly")</x:f>
        <x:v>2308</x:v>
      </x:c>
      <x:c r="G16" s="6" t="str">
        <x:v>Não</x:v>
      </x:c>
      <x:c r="H16" s="16" t="n">
        <x:f>SUMIFS('Base de Dados'!M$2:M$1000,'Base de Dados'!G$2:G$1000,"Annual",'Base de Dados'!E$2:E$1000,"No")</x:f>
        <x:v>217</x:v>
      </x:c>
    </x:row>
    <x:row r="17">
      <x:c r="A17" s="6" t="str">
        <x:v>Ultimate</x:v>
      </x:c>
      <x:c r="B17" s="16" t="n">
        <x:f>SUMIFS('Base de Dados'!M$2:M$1000,'Base de Dados'!C$2:C$1000,A17)</x:f>
        <x:v>5388</x:v>
      </x:c>
      <x:c r="D17" s="6" t="str">
        <x:v>Anual</x:v>
      </x:c>
      <x:c r="E17" s="16" t="n">
        <x:f>SUMIFS('Base de Dados'!M$2:M$1000,'Base de Dados'!G$2:G$1000,"Annual")</x:f>
        <x:v>1754</x:v>
      </x:c>
      <x:c r="G17" s="6" t="str">
        <x:v>Total anual</x:v>
      </x:c>
      <x:c r="H17" s="16" t="n">
        <x:f>SUM(H15:H16)</x:f>
        <x:v>1754</x:v>
      </x:c>
    </x:row>
    <x:row r="21">
      <x:c r="A21" s="13" t="str">
        <x:v>Vendas por mês</x:v>
      </x:c>
      <x:c r="B21" s="13" t="str">
        <x:v>Valor total (US$)</x:v>
      </x:c>
      <x:c r="D21" s="13" t="str">
        <x:v>Vendas adicionais</x:v>
      </x:c>
      <x:c r="E21" s="13" t="str">
        <x:v>Valor total (US$)</x:v>
      </x:c>
    </x:row>
    <x:row r="22">
      <x:c r="A22" s="14" t="n">
        <x:v>45292</x:v>
      </x:c>
      <x:c r="B22" s="16" t="n">
        <x:f>SUMIFS('Base de Dados'!M$2:M$1000,'Base de Dados'!D$2:D$1000,"&gt;="&amp;DATE(2024,1,1),'Base de Dados'!D$2:D$1000,"&lt;"&amp;DATE(2024,2,1))</x:f>
        <x:v>65</x:v>
      </x:c>
      <x:c r="D22" t="str">
        <x:v>EA Play</x:v>
      </x:c>
      <x:c r="E22" s="18" t="n">
        <x:f>SUM('Base de Dados'!I2:I1000)</x:f>
        <x:v>2940</x:v>
      </x:c>
    </x:row>
    <x:row r="23">
      <x:c r="A23" s="14" t="n">
        <x:v>45323</x:v>
      </x:c>
      <x:c r="B23" s="16" t="n">
        <x:f>SUMIFS('Base de Dados'!M$2:M$1000,'Base de Dados'!D$2:D$1000,"&gt;="&amp;DATE(2024,2,1),'Base de Dados'!D$2:D$1000,"&lt;"&amp;DATE(2024,3,1))</x:f>
        <x:v>82</x:v>
      </x:c>
      <x:c r="D23" t="str">
        <x:v>Minecraft</x:v>
      </x:c>
      <x:c r="E23" s="18" t="n">
        <x:f>SUM('Base de Dados'!K2:K1000)</x:f>
        <x:v>3880</x:v>
      </x:c>
    </x:row>
    <x:row r="24">
      <x:c r="A24" s="14" t="n">
        <x:v>45352</x:v>
      </x:c>
      <x:c r="B24" s="16" t="n">
        <x:f>SUMIFS('Base de Dados'!M$2:M$1000,'Base de Dados'!D$2:D$1000,"&gt;="&amp;DATE(2024,3,1),'Base de Dados'!D$2:D$1000,"&lt;"&amp;DATE(2024,4,1))</x:f>
        <x:v>801</x:v>
      </x:c>
    </x:row>
    <x:row r="25">
      <x:c r="A25" s="14" t="n">
        <x:v>45383</x:v>
      </x:c>
      <x:c r="B25" s="16" t="n">
        <x:f>SUMIFS('Base de Dados'!M$2:M$1000,'Base de Dados'!D$2:D$1000,"&gt;="&amp;DATE(2024,4,1),'Base de Dados'!D$2:D$1000,"&lt;"&amp;DATE(2024,5,1))</x:f>
        <x:v>782</x:v>
      </x:c>
    </x:row>
    <x:row r="26">
      <x:c r="A26" s="14" t="n">
        <x:v>45413</x:v>
      </x:c>
      <x:c r="B26" s="16" t="n">
        <x:f>SUMIFS('Base de Dados'!M$2:M$1000,'Base de Dados'!D$2:D$1000,"&gt;="&amp;DATE(2024,5,1),'Base de Dados'!D$2:D$1000,"&lt;"&amp;DATE(2024,6,1))</x:f>
        <x:v>777</x:v>
      </x:c>
    </x:row>
    <x:row r="27">
      <x:c r="A27" s="14" t="n">
        <x:v>45444</x:v>
      </x:c>
      <x:c r="B27" s="16" t="n">
        <x:f>SUMIFS('Base de Dados'!M$2:M$1000,'Base de Dados'!D$2:D$1000,"&gt;="&amp;DATE(2024,6,1),'Base de Dados'!D$2:D$1000,"&lt;"&amp;DATE(2024,7,1))</x:f>
        <x:v>770</x:v>
      </x:c>
    </x:row>
    <x:row r="28">
      <x:c r="A28" s="14" t="n">
        <x:v>45474</x:v>
      </x:c>
      <x:c r="B28" s="16" t="n">
        <x:f>SUMIFS('Base de Dados'!M$2:M$1000,'Base de Dados'!D$2:D$1000,"&gt;="&amp;DATE(2024,7,1),'Base de Dados'!D$2:D$1000,"&lt;"&amp;DATE(2024,8,1))</x:f>
        <x:v>784</x:v>
      </x:c>
    </x:row>
    <x:row r="29">
      <x:c r="A29" s="14" t="n">
        <x:v>45505</x:v>
      </x:c>
      <x:c r="B29" s="16" t="n">
        <x:f>SUMIFS('Base de Dados'!M$2:M$1000,'Base de Dados'!D$2:D$1000,"&gt;="&amp;DATE(2024,8,1),'Base de Dados'!D$2:D$1000,"&lt;"&amp;DATE(2024,9,1))</x:f>
        <x:v>787</x:v>
      </x:c>
    </x:row>
    <x:row r="30">
      <x:c r="A30" s="14" t="n">
        <x:v>45536</x:v>
      </x:c>
      <x:c r="B30" s="16" t="n">
        <x:f>SUMIFS('Base de Dados'!M$2:M$1000,'Base de Dados'!D$2:D$1000,"&gt;="&amp;DATE(2024,9,1),'Base de Dados'!D$2:D$1000,"&lt;"&amp;DATE(2024,10,1))</x:f>
        <x:v>780</x:v>
      </x:c>
    </x:row>
    <x:row r="31">
      <x:c r="A31" s="14" t="n">
        <x:v>45566</x:v>
      </x:c>
      <x:c r="B31" s="16" t="n">
        <x:f>SUMIFS('Base de Dados'!M$2:M$1000,'Base de Dados'!D$2:D$1000,"&gt;="&amp;DATE(2024,10,1),'Base de Dados'!D$2:D$1000,"&lt;"&amp;DATE(2024,11,1))</x:f>
        <x:v>832</x:v>
      </x:c>
    </x:row>
    <x:row r="32">
      <x:c r="A32" s="14" t="n">
        <x:v>45597</x:v>
      </x:c>
      <x:c r="B32" s="16" t="n">
        <x:f>SUMIFS('Base de Dados'!M$2:M$1000,'Base de Dados'!D$2:D$1000,"&gt;="&amp;DATE(2024,11,1),'Base de Dados'!D$2:D$1000,"&lt;"&amp;DATE(2024,12,1))</x:f>
        <x:v>784</x:v>
      </x:c>
    </x:row>
    <x:row r="33">
      <x:c r="A33" s="14" t="n">
        <x:v>45627</x:v>
      </x:c>
      <x:c r="B33" s="16" t="n">
        <x:f>SUMIFS('Base de Dados'!M$2:M$1000,'Base de Dados'!D$2:D$1000,"&gt;="&amp;DATE(2024,12,1),'Base de Dados'!D$2:D$1000,"&lt;"&amp;DATE(2025,1,1))</x:f>
        <x:v>389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6" hidden="0" customWidth="1"/>
    <x:col min="5" max="5" width="24" hidden="0" customWidth="1"/>
    <x:col min="6" max="6" width="22" hidden="0" customWidth="1"/>
    <x:col min="7" max="7" width="16" hidden="0" customWidth="1"/>
    <x:col min="8" max="8" width="20" hidden="0" customWidth="1"/>
    <x:col min="9" max="9" width="20" hidden="0" customWidth="1"/>
    <x:col min="10" max="10" width="22" hidden="0" customWidth="1"/>
    <x:col min="11" max="11" width="21" hidden="0" customWidth="1"/>
    <x:col min="12" max="12" width="15" hidden="0" customWidth="1"/>
    <x:col min="13" max="13" width="20" hidden="0" customWidth="1"/>
  </x:cols>
  <x:sheetData>
    <x:row r="1" ht="34" customHeight="1">
      <x:c r="A1" s="5" t="str">
        <x:v>ID do assinante</x:v>
      </x:c>
      <x:c r="B1" s="5" t="str">
        <x:v>Nome</x:v>
      </x:c>
      <x:c r="C1" s="5" t="str">
        <x:v>Plano</x:v>
      </x:c>
      <x:c r="D1" s="5" t="str">
        <x:v>Data de início</x:v>
      </x:c>
      <x:c r="E1" s="5" t="str">
        <x:v>Renovação automática</x:v>
      </x:c>
      <x:c r="F1" s="5" t="str">
        <x:v>Preço da assinatura (US$)</x:v>
      </x:c>
      <x:c r="G1" s="5" t="str">
        <x:v>Periodicidade</x:v>
      </x:c>
      <x:c r="H1" s="5" t="str">
        <x:v>EA Play incluído</x:v>
      </x:c>
      <x:c r="I1" s="5" t="str">
        <x:v>Preço EA Play (US$)</x:v>
      </x:c>
      <x:c r="J1" s="5" t="str">
        <x:v>Minecraft incluído</x:v>
      </x:c>
      <x:c r="K1" s="5" t="str">
        <x:v>Preço Minecraft (US$)</x:v>
      </x:c>
      <x:c r="L1" s="5" t="str">
        <x:v>Cupom (US$)</x:v>
      </x:c>
      <x:c r="M1" s="5" t="str">
        <x:v>Valor total (US$)</x:v>
      </x:c>
    </x:row>
    <x:row r="2">
      <x:c r="A2" s="7" t="n">
        <x:v>3231</x:v>
      </x:c>
      <x:c r="B2" s="7" t="str">
        <x:v>João Silva</x:v>
      </x:c>
      <x:c r="C2" s="7" t="str">
        <x:v>Ultimate</x:v>
      </x:c>
      <x:c r="D2" s="8" t="n">
        <x:v>45292</x:v>
      </x:c>
      <x:c r="E2" s="7" t="str">
        <x:v>Yes</x:v>
      </x:c>
      <x:c r="F2" s="9" t="n">
        <x:v>15</x:v>
      </x:c>
      <x:c r="G2" s="7" t="str">
        <x:v>Monthly</x:v>
      </x:c>
      <x:c r="H2" s="7" t="str">
        <x:v>Yes</x:v>
      </x:c>
      <x:c r="I2" s="9" t="n">
        <x:v>30</x:v>
      </x:c>
      <x:c r="J2" s="7" t="str">
        <x:v>Yes</x:v>
      </x:c>
      <x:c r="K2" s="9" t="n">
        <x:v>20</x:v>
      </x:c>
      <x:c r="L2" s="9" t="n">
        <x:v>5</x:v>
      </x:c>
      <x:c r="M2" s="9" t="n">
        <x:v>60</x:v>
      </x:c>
    </x:row>
    <x:row r="3">
      <x:c r="A3" s="7" t="n">
        <x:v>3232</x:v>
      </x:c>
      <x:c r="B3" s="7" t="str">
        <x:v>Maria Oliveira</x:v>
      </x:c>
      <x:c r="C3" s="7" t="str">
        <x:v>Core</x:v>
      </x:c>
      <x:c r="D3" s="8" t="n">
        <x:v>45306</x:v>
      </x:c>
      <x:c r="E3" s="7" t="str">
        <x:v>No</x:v>
      </x:c>
      <x:c r="F3" s="9" t="n">
        <x:v>5</x:v>
      </x:c>
      <x:c r="G3" s="7" t="str">
        <x:v>Annual</x:v>
      </x:c>
      <x:c r="H3" s="7" t="str">
        <x:v>No</x:v>
      </x:c>
      <x:c r="I3" s="9" t="str">
        <x:v>-</x:v>
      </x:c>
      <x:c r="J3" s="7" t="str">
        <x:v>No</x:v>
      </x:c>
      <x:c r="K3" s="9" t="n">
        <x:v>0</x:v>
      </x:c>
      <x:c r="L3" s="9" t="n">
        <x:v>0</x:v>
      </x:c>
      <x:c r="M3" s="9" t="n">
        <x:v>5</x:v>
      </x:c>
    </x:row>
    <x:row r="4">
      <x:c r="A4" s="7" t="n">
        <x:v>3233</x:v>
      </x:c>
      <x:c r="B4" s="7" t="str">
        <x:v>Lucas Fernandes</x:v>
      </x:c>
      <x:c r="C4" s="7" t="str">
        <x:v>Standard</x:v>
      </x:c>
      <x:c r="D4" s="8" t="n">
        <x:v>45332</x:v>
      </x:c>
      <x:c r="E4" s="7" t="str">
        <x:v>Yes</x:v>
      </x:c>
      <x:c r="F4" s="9" t="n">
        <x:v>10</x:v>
      </x:c>
      <x:c r="G4" s="7" t="str">
        <x:v>Quarterly</x:v>
      </x:c>
      <x:c r="H4" s="7" t="str">
        <x:v>No</x:v>
      </x:c>
      <x:c r="I4" s="9" t="str">
        <x:v>-</x:v>
      </x:c>
      <x:c r="J4" s="7" t="str">
        <x:v>Yes</x:v>
      </x:c>
      <x:c r="K4" s="9" t="n">
        <x:v>20</x:v>
      </x:c>
      <x:c r="L4" s="9" t="n">
        <x:v>10</x:v>
      </x:c>
      <x:c r="M4" s="9" t="n">
        <x:v>20</x:v>
      </x:c>
    </x:row>
    <x:row r="5">
      <x:c r="A5" s="7" t="n">
        <x:v>3234</x:v>
      </x:c>
      <x:c r="B5" s="7" t="str">
        <x:v>Ana Souza</x:v>
      </x:c>
      <x:c r="C5" s="7" t="str">
        <x:v>Ultimate</x:v>
      </x:c>
      <x:c r="D5" s="8" t="n">
        <x:v>45342</x:v>
      </x:c>
      <x:c r="E5" s="7" t="str">
        <x:v>No</x:v>
      </x:c>
      <x:c r="F5" s="9" t="n">
        <x:v>15</x:v>
      </x:c>
      <x:c r="G5" s="7" t="str">
        <x:v>Monthly</x:v>
      </x:c>
      <x:c r="H5" s="7" t="str">
        <x:v>Yes</x:v>
      </x:c>
      <x:c r="I5" s="9" t="n">
        <x:v>30</x:v>
      </x:c>
      <x:c r="J5" s="7" t="str">
        <x:v>Yes</x:v>
      </x:c>
      <x:c r="K5" s="9" t="n">
        <x:v>20</x:v>
      </x:c>
      <x:c r="L5" s="9" t="n">
        <x:v>3</x:v>
      </x:c>
      <x:c r="M5" s="9" t="n">
        <x:v>62</x:v>
      </x:c>
    </x:row>
    <x:row r="6">
      <x:c r="A6" s="7" t="n">
        <x:v>3235</x:v>
      </x:c>
      <x:c r="B6" s="7" t="str">
        <x:v>Pedro Gonçalves</x:v>
      </x:c>
      <x:c r="C6" s="7" t="str">
        <x:v>Core</x:v>
      </x:c>
      <x:c r="D6" s="8" t="n">
        <x:v>45356</x:v>
      </x:c>
      <x:c r="E6" s="7" t="str">
        <x:v>Yes</x:v>
      </x:c>
      <x:c r="F6" s="9" t="n">
        <x:v>5</x:v>
      </x:c>
      <x:c r="G6" s="7" t="str">
        <x:v>Monthly</x:v>
      </x:c>
      <x:c r="H6" s="7" t="str">
        <x:v>No</x:v>
      </x:c>
      <x:c r="I6" s="9" t="str">
        <x:v>-</x:v>
      </x:c>
      <x:c r="J6" s="7" t="str">
        <x:v>No</x:v>
      </x:c>
      <x:c r="K6" s="9" t="n">
        <x:v>0</x:v>
      </x:c>
      <x:c r="L6" s="9" t="n">
        <x:v>1</x:v>
      </x:c>
      <x:c r="M6" s="9" t="n">
        <x:v>4</x:v>
      </x:c>
    </x:row>
    <x:row r="7">
      <x:c r="A7" s="7" t="n">
        <x:v>3236</x:v>
      </x:c>
      <x:c r="B7" s="7" t="str">
        <x:v>Felipe Costa</x:v>
      </x:c>
      <x:c r="C7" s="7" t="str">
        <x:v>Standard</x:v>
      </x:c>
      <x:c r="D7" s="8" t="n">
        <x:v>45353</x:v>
      </x:c>
      <x:c r="E7" s="7" t="str">
        <x:v>No</x:v>
      </x:c>
      <x:c r="F7" s="9" t="n">
        <x:v>10</x:v>
      </x:c>
      <x:c r="G7" s="7" t="str">
        <x:v>Monthly</x:v>
      </x:c>
      <x:c r="H7" s="7" t="str">
        <x:v>No</x:v>
      </x:c>
      <x:c r="I7" s="9" t="str">
        <x:v>-</x:v>
      </x:c>
      <x:c r="J7" s="7" t="str">
        <x:v>Yes</x:v>
      </x:c>
      <x:c r="K7" s="9" t="n">
        <x:v>20</x:v>
      </x:c>
      <x:c r="L7" s="9" t="n">
        <x:v>2</x:v>
      </x:c>
      <x:c r="M7" s="9" t="n">
        <x:v>28</x:v>
      </x:c>
    </x:row>
    <x:row r="8">
      <x:c r="A8" s="7" t="n">
        <x:v>3237</x:v>
      </x:c>
      <x:c r="B8" s="7" t="str">
        <x:v>Camila Ribeiro</x:v>
      </x:c>
      <x:c r="C8" s="7" t="str">
        <x:v>Ultimate</x:v>
      </x:c>
      <x:c r="D8" s="8" t="n">
        <x:v>45354</x:v>
      </x:c>
      <x:c r="E8" s="7" t="str">
        <x:v>Yes</x:v>
      </x:c>
      <x:c r="F8" s="9" t="n">
        <x:v>15</x:v>
      </x:c>
      <x:c r="G8" s="7" t="str">
        <x:v>Quarterly</x:v>
      </x:c>
      <x:c r="H8" s="7" t="str">
        <x:v>Yes</x:v>
      </x:c>
      <x:c r="I8" s="9" t="n">
        <x:v>30</x:v>
      </x:c>
      <x:c r="J8" s="7" t="str">
        <x:v>Yes</x:v>
      </x:c>
      <x:c r="K8" s="9" t="n">
        <x:v>20</x:v>
      </x:c>
      <x:c r="L8" s="9" t="n">
        <x:v>10</x:v>
      </x:c>
      <x:c r="M8" s="9" t="n">
        <x:v>55</x:v>
      </x:c>
    </x:row>
    <x:row r="9">
      <x:c r="A9" s="7" t="n">
        <x:v>3238</x:v>
      </x:c>
      <x:c r="B9" s="7" t="str">
        <x:v>André Mendes</x:v>
      </x:c>
      <x:c r="C9" s="7" t="str">
        <x:v>Core</x:v>
      </x:c>
      <x:c r="D9" s="8" t="n">
        <x:v>45355</x:v>
      </x:c>
      <x:c r="E9" s="7" t="str">
        <x:v>Yes</x:v>
      </x:c>
      <x:c r="F9" s="9" t="n">
        <x:v>5</x:v>
      </x:c>
      <x:c r="G9" s="7" t="str">
        <x:v>Annual</x:v>
      </x:c>
      <x:c r="H9" s="7" t="str">
        <x:v>No</x:v>
      </x:c>
      <x:c r="I9" s="9" t="str">
        <x:v>-</x:v>
      </x:c>
      <x:c r="J9" s="7" t="str">
        <x:v>No</x:v>
      </x:c>
      <x:c r="K9" s="9" t="n">
        <x:v>0</x:v>
      </x:c>
      <x:c r="L9" s="9" t="n">
        <x:v>0</x:v>
      </x:c>
      <x:c r="M9" s="9" t="n">
        <x:v>5</x:v>
      </x:c>
    </x:row>
    <x:row r="10">
      <x:c r="A10" s="7" t="n">
        <x:v>3239</x:v>
      </x:c>
      <x:c r="B10" s="7" t="str">
        <x:v>Sofia Almeida</x:v>
      </x:c>
      <x:c r="C10" s="7" t="str">
        <x:v>Ultimate</x:v>
      </x:c>
      <x:c r="D10" s="8" t="n">
        <x:v>45356</x:v>
      </x:c>
      <x:c r="E10" s="7" t="str">
        <x:v>No</x:v>
      </x:c>
      <x:c r="F10" s="9" t="n">
        <x:v>15</x:v>
      </x:c>
      <x:c r="G10" s="7" t="str">
        <x:v>Monthly</x:v>
      </x:c>
      <x:c r="H10" s="7" t="str">
        <x:v>Yes</x:v>
      </x:c>
      <x:c r="I10" s="9" t="n">
        <x:v>30</x:v>
      </x:c>
      <x:c r="J10" s="7" t="str">
        <x:v>Yes</x:v>
      </x:c>
      <x:c r="K10" s="9" t="n">
        <x:v>20</x:v>
      </x:c>
      <x:c r="L10" s="9" t="n">
        <x:v>5</x:v>
      </x:c>
      <x:c r="M10" s="9" t="n">
        <x:v>60</x:v>
      </x:c>
    </x:row>
    <x:row r="11">
      <x:c r="A11" s="7" t="n">
        <x:v>3240</x:v>
      </x:c>
      <x:c r="B11" s="7" t="str">
        <x:v>Bruno Martins</x:v>
      </x:c>
      <x:c r="C11" s="7" t="str">
        <x:v>Standard</x:v>
      </x:c>
      <x:c r="D11" s="8" t="n">
        <x:v>45357</x:v>
      </x:c>
      <x:c r="E11" s="7" t="str">
        <x:v>Yes</x:v>
      </x:c>
      <x:c r="F11" s="9" t="n">
        <x:v>10</x:v>
      </x:c>
      <x:c r="G11" s="7" t="str">
        <x:v>Quarterly</x:v>
      </x:c>
      <x:c r="H11" s="7" t="str">
        <x:v>No</x:v>
      </x:c>
      <x:c r="I11" s="9" t="str">
        <x:v>-</x:v>
      </x:c>
      <x:c r="J11" s="7" t="str">
        <x:v>Yes</x:v>
      </x:c>
      <x:c r="K11" s="9" t="n">
        <x:v>20</x:v>
      </x:c>
      <x:c r="L11" s="9" t="n">
        <x:v>15</x:v>
      </x:c>
      <x:c r="M11" s="9" t="n">
        <x:v>15</x:v>
      </x:c>
    </x:row>
    <x:row r="12">
      <x:c r="A12" s="7" t="n">
        <x:v>3241</x:v>
      </x:c>
      <x:c r="B12" s="7" t="str">
        <x:v>Rita Castro</x:v>
      </x:c>
      <x:c r="C12" s="7" t="str">
        <x:v>Core</x:v>
      </x:c>
      <x:c r="D12" s="8" t="n">
        <x:v>45358</x:v>
      </x:c>
      <x:c r="E12" s="7" t="str">
        <x:v>No</x:v>
      </x:c>
      <x:c r="F12" s="9" t="n">
        <x:v>5</x:v>
      </x:c>
      <x:c r="G12" s="7" t="str">
        <x:v>Monthly</x:v>
      </x:c>
      <x:c r="H12" s="7" t="str">
        <x:v>No</x:v>
      </x:c>
      <x:c r="I12" s="9" t="str">
        <x:v>-</x:v>
      </x:c>
      <x:c r="J12" s="7" t="str">
        <x:v>No</x:v>
      </x:c>
      <x:c r="K12" s="9" t="n">
        <x:v>0</x:v>
      </x:c>
      <x:c r="L12" s="9" t="n">
        <x:v>1</x:v>
      </x:c>
      <x:c r="M12" s="9" t="n">
        <x:v>4</x:v>
      </x:c>
    </x:row>
    <x:row r="13">
      <x:c r="A13" s="7" t="n">
        <x:v>3242</x:v>
      </x:c>
      <x:c r="B13" s="7" t="str">
        <x:v>Marco Túlio</x:v>
      </x:c>
      <x:c r="C13" s="7" t="str">
        <x:v>Ultimate</x:v>
      </x:c>
      <x:c r="D13" s="8" t="n">
        <x:v>45359</x:v>
      </x:c>
      <x:c r="E13" s="7" t="str">
        <x:v>Yes</x:v>
      </x:c>
      <x:c r="F13" s="9" t="n">
        <x:v>15</x:v>
      </x:c>
      <x:c r="G13" s="7" t="str">
        <x:v>Annual</x:v>
      </x:c>
      <x:c r="H13" s="7" t="str">
        <x:v>Yes</x:v>
      </x:c>
      <x:c r="I13" s="9" t="n">
        <x:v>30</x:v>
      </x:c>
      <x:c r="J13" s="7" t="str">
        <x:v>Yes</x:v>
      </x:c>
      <x:c r="K13" s="9" t="n">
        <x:v>20</x:v>
      </x:c>
      <x:c r="L13" s="9" t="n">
        <x:v>20</x:v>
      </x:c>
      <x:c r="M13" s="9" t="n">
        <x:v>45</x:v>
      </x:c>
    </x:row>
    <x:row r="14">
      <x:c r="A14" s="7" t="n">
        <x:v>3243</x:v>
      </x:c>
      <x:c r="B14" s="7" t="str">
        <x:v>Lívia Silveira</x:v>
      </x:c>
      <x:c r="C14" s="7" t="str">
        <x:v>Standard</x:v>
      </x:c>
      <x:c r="D14" s="8" t="n">
        <x:v>45360</x:v>
      </x:c>
      <x:c r="E14" s="7" t="str">
        <x:v>No</x:v>
      </x:c>
      <x:c r="F14" s="9" t="n">
        <x:v>10</x:v>
      </x:c>
      <x:c r="G14" s="7" t="str">
        <x:v>Monthly</x:v>
      </x:c>
      <x:c r="H14" s="7" t="str">
        <x:v>No</x:v>
      </x:c>
      <x:c r="I14" s="9" t="str">
        <x:v>-</x:v>
      </x:c>
      <x:c r="J14" s="7" t="str">
        <x:v>Yes</x:v>
      </x:c>
      <x:c r="K14" s="9" t="n">
        <x:v>20</x:v>
      </x:c>
      <x:c r="L14" s="9" t="n">
        <x:v>10</x:v>
      </x:c>
      <x:c r="M14" s="9" t="n">
        <x:v>20</x:v>
      </x:c>
    </x:row>
    <x:row r="15">
      <x:c r="A15" s="7" t="n">
        <x:v>3244</x:v>
      </x:c>
      <x:c r="B15" s="7" t="str">
        <x:v>Diogo Sousa</x:v>
      </x:c>
      <x:c r="C15" s="7" t="str">
        <x:v>Core</x:v>
      </x:c>
      <x:c r="D15" s="8" t="n">
        <x:v>45361</x:v>
      </x:c>
      <x:c r="E15" s="7" t="str">
        <x:v>Yes</x:v>
      </x:c>
      <x:c r="F15" s="9" t="n">
        <x:v>5</x:v>
      </x:c>
      <x:c r="G15" s="7" t="str">
        <x:v>Quarterly</x:v>
      </x:c>
      <x:c r="H15" s="7" t="str">
        <x:v>No</x:v>
      </x:c>
      <x:c r="I15" s="9" t="str">
        <x:v>-</x:v>
      </x:c>
      <x:c r="J15" s="7" t="str">
        <x:v>No</x:v>
      </x:c>
      <x:c r="K15" s="9" t="n">
        <x:v>0</x:v>
      </x:c>
      <x:c r="L15" s="9" t="n">
        <x:v>0</x:v>
      </x:c>
      <x:c r="M15" s="9" t="n">
        <x:v>5</x:v>
      </x:c>
    </x:row>
    <x:row r="16">
      <x:c r="A16" s="7" t="n">
        <x:v>3245</x:v>
      </x:c>
      <x:c r="B16" s="7" t="str">
        <x:v>Fernanda Lima</x:v>
      </x:c>
      <x:c r="C16" s="7" t="str">
        <x:v>Ultimate</x:v>
      </x:c>
      <x:c r="D16" s="8" t="n">
        <x:v>45362</x:v>
      </x:c>
      <x:c r="E16" s="7" t="str">
        <x:v>No</x:v>
      </x:c>
      <x:c r="F16" s="9" t="n">
        <x:v>15</x:v>
      </x:c>
      <x:c r="G16" s="7" t="str">
        <x:v>Monthly</x:v>
      </x:c>
      <x:c r="H16" s="7" t="str">
        <x:v>Yes</x:v>
      </x:c>
      <x:c r="I16" s="9" t="n">
        <x:v>30</x:v>
      </x:c>
      <x:c r="J16" s="7" t="str">
        <x:v>Yes</x:v>
      </x:c>
      <x:c r="K16" s="9" t="n">
        <x:v>20</x:v>
      </x:c>
      <x:c r="L16" s="9" t="n">
        <x:v>8</x:v>
      </x:c>
      <x:c r="M16" s="9" t="n">
        <x:v>57</x:v>
      </x:c>
    </x:row>
    <x:row r="17">
      <x:c r="A17" s="7" t="n">
        <x:v>3246</x:v>
      </x:c>
      <x:c r="B17" s="7" t="str">
        <x:v>Caio Pereira</x:v>
      </x:c>
      <x:c r="C17" s="7" t="str">
        <x:v>Standard</x:v>
      </x:c>
      <x:c r="D17" s="8" t="n">
        <x:v>45363</x:v>
      </x:c>
      <x:c r="E17" s="7" t="str">
        <x:v>Yes</x:v>
      </x:c>
      <x:c r="F17" s="9" t="n">
        <x:v>10</x:v>
      </x:c>
      <x:c r="G17" s="7" t="str">
        <x:v>Annual</x:v>
      </x:c>
      <x:c r="H17" s="7" t="str">
        <x:v>No</x:v>
      </x:c>
      <x:c r="I17" s="9" t="str">
        <x:v>-</x:v>
      </x:c>
      <x:c r="J17" s="7" t="str">
        <x:v>Yes</x:v>
      </x:c>
      <x:c r="K17" s="9" t="n">
        <x:v>20</x:v>
      </x:c>
      <x:c r="L17" s="9" t="n">
        <x:v>12</x:v>
      </x:c>
      <x:c r="M17" s="9" t="n">
        <x:v>18</x:v>
      </x:c>
    </x:row>
    <x:row r="18">
      <x:c r="A18" s="7" t="n">
        <x:v>3247</x:v>
      </x:c>
      <x:c r="B18" s="7" t="str">
        <x:v>Beatriz Gomes</x:v>
      </x:c>
      <x:c r="C18" s="7" t="str">
        <x:v>Core</x:v>
      </x:c>
      <x:c r="D18" s="8" t="n">
        <x:v>45364</x:v>
      </x:c>
      <x:c r="E18" s="7" t="str">
        <x:v>No</x:v>
      </x:c>
      <x:c r="F18" s="9" t="n">
        <x:v>5</x:v>
      </x:c>
      <x:c r="G18" s="7" t="str">
        <x:v>Monthly</x:v>
      </x:c>
      <x:c r="H18" s="7" t="str">
        <x:v>No</x:v>
      </x:c>
      <x:c r="I18" s="9" t="str">
        <x:v>-</x:v>
      </x:c>
      <x:c r="J18" s="7" t="str">
        <x:v>No</x:v>
      </x:c>
      <x:c r="K18" s="9" t="n">
        <x:v>0</x:v>
      </x:c>
      <x:c r="L18" s="9" t="n">
        <x:v>2</x:v>
      </x:c>
      <x:c r="M18" s="9" t="n">
        <x:v>3</x:v>
      </x:c>
    </x:row>
    <x:row r="19">
      <x:c r="A19" s="7" t="n">
        <x:v>3248</x:v>
      </x:c>
      <x:c r="B19" s="7" t="str">
        <x:v>Cesar Oliveira</x:v>
      </x:c>
      <x:c r="C19" s="7" t="str">
        <x:v>Ultimate</x:v>
      </x:c>
      <x:c r="D19" s="8" t="n">
        <x:v>45365</x:v>
      </x:c>
      <x:c r="E19" s="7" t="str">
        <x:v>Yes</x:v>
      </x:c>
      <x:c r="F19" s="9" t="n">
        <x:v>15</x:v>
      </x:c>
      <x:c r="G19" s="7" t="str">
        <x:v>Quarterly</x:v>
      </x:c>
      <x:c r="H19" s="7" t="str">
        <x:v>Yes</x:v>
      </x:c>
      <x:c r="I19" s="9" t="n">
        <x:v>30</x:v>
      </x:c>
      <x:c r="J19" s="7" t="str">
        <x:v>Yes</x:v>
      </x:c>
      <x:c r="K19" s="9" t="n">
        <x:v>20</x:v>
      </x:c>
      <x:c r="L19" s="9" t="n">
        <x:v>7</x:v>
      </x:c>
      <x:c r="M19" s="9" t="n">
        <x:v>58</x:v>
      </x:c>
    </x:row>
    <x:row r="20">
      <x:c r="A20" s="7" t="n">
        <x:v>3249</x:v>
      </x:c>
      <x:c r="B20" s="7" t="str">
        <x:v>Débora Machado</x:v>
      </x:c>
      <x:c r="C20" s="7" t="str">
        <x:v>Standard</x:v>
      </x:c>
      <x:c r="D20" s="8" t="n">
        <x:v>45366</x:v>
      </x:c>
      <x:c r="E20" s="7" t="str">
        <x:v>No</x:v>
      </x:c>
      <x:c r="F20" s="9" t="n">
        <x:v>10</x:v>
      </x:c>
      <x:c r="G20" s="7" t="str">
        <x:v>Monthly</x:v>
      </x:c>
      <x:c r="H20" s="7" t="str">
        <x:v>No</x:v>
      </x:c>
      <x:c r="I20" s="9" t="str">
        <x:v>-</x:v>
      </x:c>
      <x:c r="J20" s="7" t="str">
        <x:v>Yes</x:v>
      </x:c>
      <x:c r="K20" s="9" t="n">
        <x:v>20</x:v>
      </x:c>
      <x:c r="L20" s="9" t="n">
        <x:v>5</x:v>
      </x:c>
      <x:c r="M20" s="9" t="n">
        <x:v>25</x:v>
      </x:c>
    </x:row>
    <x:row r="21">
      <x:c r="A21" s="7" t="n">
        <x:v>3250</x:v>
      </x:c>
      <x:c r="B21" s="7" t="str">
        <x:v>Eduardo Vargas</x:v>
      </x:c>
      <x:c r="C21" s="7" t="str">
        <x:v>Core</x:v>
      </x:c>
      <x:c r="D21" s="8" t="n">
        <x:v>45367</x:v>
      </x:c>
      <x:c r="E21" s="7" t="str">
        <x:v>Yes</x:v>
      </x:c>
      <x:c r="F21" s="9" t="n">
        <x:v>5</x:v>
      </x:c>
      <x:c r="G21" s="7" t="str">
        <x:v>Annual</x:v>
      </x:c>
      <x:c r="H21" s="7" t="str">
        <x:v>No</x:v>
      </x:c>
      <x:c r="I21" s="9" t="str">
        <x:v>-</x:v>
      </x:c>
      <x:c r="J21" s="7" t="str">
        <x:v>No</x:v>
      </x:c>
      <x:c r="K21" s="9" t="n">
        <x:v>0</x:v>
      </x:c>
      <x:c r="L21" s="9" t="n">
        <x:v>0</x:v>
      </x:c>
      <x:c r="M21" s="9" t="n">
        <x:v>5</x:v>
      </x:c>
    </x:row>
    <x:row r="22">
      <x:c r="A22" s="7" t="n">
        <x:v>3251</x:v>
      </x:c>
      <x:c r="B22" s="7" t="str">
        <x:v>Gabriela Santos</x:v>
      </x:c>
      <x:c r="C22" s="7" t="str">
        <x:v>Ultimate</x:v>
      </x:c>
      <x:c r="D22" s="8" t="n">
        <x:v>45368</x:v>
      </x:c>
      <x:c r="E22" s="7" t="str">
        <x:v>No</x:v>
      </x:c>
      <x:c r="F22" s="9" t="n">
        <x:v>15</x:v>
      </x:c>
      <x:c r="G22" s="7" t="str">
        <x:v>Monthly</x:v>
      </x:c>
      <x:c r="H22" s="7" t="str">
        <x:v>Yes</x:v>
      </x:c>
      <x:c r="I22" s="9" t="n">
        <x:v>30</x:v>
      </x:c>
      <x:c r="J22" s="7" t="str">
        <x:v>Yes</x:v>
      </x:c>
      <x:c r="K22" s="9" t="n">
        <x:v>20</x:v>
      </x:c>
      <x:c r="L22" s="9" t="n">
        <x:v>3</x:v>
      </x:c>
      <x:c r="M22" s="9" t="n">
        <x:v>62</x:v>
      </x:c>
    </x:row>
    <x:row r="23">
      <x:c r="A23" s="7" t="n">
        <x:v>3252</x:v>
      </x:c>
      <x:c r="B23" s="7" t="str">
        <x:v>Henrique Dias</x:v>
      </x:c>
      <x:c r="C23" s="7" t="str">
        <x:v>Standard</x:v>
      </x:c>
      <x:c r="D23" s="8" t="n">
        <x:v>45369</x:v>
      </x:c>
      <x:c r="E23" s="7" t="str">
        <x:v>Yes</x:v>
      </x:c>
      <x:c r="F23" s="9" t="n">
        <x:v>10</x:v>
      </x:c>
      <x:c r="G23" s="7" t="str">
        <x:v>Quarterly</x:v>
      </x:c>
      <x:c r="H23" s="7" t="str">
        <x:v>No</x:v>
      </x:c>
      <x:c r="I23" s="9" t="str">
        <x:v>-</x:v>
      </x:c>
      <x:c r="J23" s="7" t="str">
        <x:v>Yes</x:v>
      </x:c>
      <x:c r="K23" s="9" t="n">
        <x:v>20</x:v>
      </x:c>
      <x:c r="L23" s="9" t="n">
        <x:v>15</x:v>
      </x:c>
      <x:c r="M23" s="9" t="n">
        <x:v>15</x:v>
      </x:c>
    </x:row>
    <x:row r="24">
      <x:c r="A24" s="7" t="n">
        <x:v>3253</x:v>
      </x:c>
      <x:c r="B24" s="7" t="str">
        <x:v>Isabela Moreira</x:v>
      </x:c>
      <x:c r="C24" s="7" t="str">
        <x:v>Core</x:v>
      </x:c>
      <x:c r="D24" s="8" t="n">
        <x:v>45370</x:v>
      </x:c>
      <x:c r="E24" s="7" t="str">
        <x:v>No</x:v>
      </x:c>
      <x:c r="F24" s="9" t="n">
        <x:v>5</x:v>
      </x:c>
      <x:c r="G24" s="7" t="str">
        <x:v>Monthly</x:v>
      </x:c>
      <x:c r="H24" s="7" t="str">
        <x:v>No</x:v>
      </x:c>
      <x:c r="I24" s="9" t="str">
        <x:v>-</x:v>
      </x:c>
      <x:c r="J24" s="7" t="str">
        <x:v>No</x:v>
      </x:c>
      <x:c r="K24" s="9" t="n">
        <x:v>0</x:v>
      </x:c>
      <x:c r="L24" s="9" t="n">
        <x:v>1</x:v>
      </x:c>
      <x:c r="M24" s="9" t="n">
        <x:v>4</x:v>
      </x:c>
    </x:row>
    <x:row r="25">
      <x:c r="A25" s="7" t="n">
        <x:v>3254</x:v>
      </x:c>
      <x:c r="B25" s="7" t="str">
        <x:v>Joaquim Barbosa</x:v>
      </x:c>
      <x:c r="C25" s="7" t="str">
        <x:v>Ultimate</x:v>
      </x:c>
      <x:c r="D25" s="8" t="n">
        <x:v>45371</x:v>
      </x:c>
      <x:c r="E25" s="7" t="str">
        <x:v>Yes</x:v>
      </x:c>
      <x:c r="F25" s="9" t="n">
        <x:v>15</x:v>
      </x:c>
      <x:c r="G25" s="7" t="str">
        <x:v>Annual</x:v>
      </x:c>
      <x:c r="H25" s="7" t="str">
        <x:v>Yes</x:v>
      </x:c>
      <x:c r="I25" s="9" t="n">
        <x:v>30</x:v>
      </x:c>
      <x:c r="J25" s="7" t="str">
        <x:v>Yes</x:v>
      </x:c>
      <x:c r="K25" s="9" t="n">
        <x:v>20</x:v>
      </x:c>
      <x:c r="L25" s="9" t="n">
        <x:v>20</x:v>
      </x:c>
      <x:c r="M25" s="9" t="n">
        <x:v>45</x:v>
      </x:c>
    </x:row>
    <x:row r="26">
      <x:c r="A26" s="7" t="n">
        <x:v>3255</x:v>
      </x:c>
      <x:c r="B26" s="7" t="str">
        <x:v>Lara Rocha</x:v>
      </x:c>
      <x:c r="C26" s="7" t="str">
        <x:v>Standard</x:v>
      </x:c>
      <x:c r="D26" s="8" t="n">
        <x:v>45372</x:v>
      </x:c>
      <x:c r="E26" s="7" t="str">
        <x:v>No</x:v>
      </x:c>
      <x:c r="F26" s="9" t="n">
        <x:v>10</x:v>
      </x:c>
      <x:c r="G26" s="7" t="str">
        <x:v>Monthly</x:v>
      </x:c>
      <x:c r="H26" s="7" t="str">
        <x:v>No</x:v>
      </x:c>
      <x:c r="I26" s="9" t="str">
        <x:v>-</x:v>
      </x:c>
      <x:c r="J26" s="7" t="str">
        <x:v>Yes</x:v>
      </x:c>
      <x:c r="K26" s="9" t="n">
        <x:v>20</x:v>
      </x:c>
      <x:c r="L26" s="9" t="n">
        <x:v>10</x:v>
      </x:c>
      <x:c r="M26" s="9" t="n">
        <x:v>20</x:v>
      </x:c>
    </x:row>
    <x:row r="27">
      <x:c r="A27" s="7" t="n">
        <x:v>3256</x:v>
      </x:c>
      <x:c r="B27" s="7" t="str">
        <x:v>Matheus Silva</x:v>
      </x:c>
      <x:c r="C27" s="7" t="str">
        <x:v>Core</x:v>
      </x:c>
      <x:c r="D27" s="8" t="n">
        <x:v>45373</x:v>
      </x:c>
      <x:c r="E27" s="7" t="str">
        <x:v>Yes</x:v>
      </x:c>
      <x:c r="F27" s="9" t="n">
        <x:v>5</x:v>
      </x:c>
      <x:c r="G27" s="7" t="str">
        <x:v>Quarterly</x:v>
      </x:c>
      <x:c r="H27" s="7" t="str">
        <x:v>No</x:v>
      </x:c>
      <x:c r="I27" s="9" t="str">
        <x:v>-</x:v>
      </x:c>
      <x:c r="J27" s="7" t="str">
        <x:v>No</x:v>
      </x:c>
      <x:c r="K27" s="9" t="n">
        <x:v>0</x:v>
      </x:c>
      <x:c r="L27" s="9" t="n">
        <x:v>0</x:v>
      </x:c>
      <x:c r="M27" s="9" t="n">
        <x:v>5</x:v>
      </x:c>
    </x:row>
    <x:row r="28">
      <x:c r="A28" s="7" t="n">
        <x:v>3257</x:v>
      </x:c>
      <x:c r="B28" s="7" t="str">
        <x:v>Nicole Costa</x:v>
      </x:c>
      <x:c r="C28" s="7" t="str">
        <x:v>Ultimate</x:v>
      </x:c>
      <x:c r="D28" s="8" t="n">
        <x:v>45374</x:v>
      </x:c>
      <x:c r="E28" s="7" t="str">
        <x:v>No</x:v>
      </x:c>
      <x:c r="F28" s="9" t="n">
        <x:v>15</x:v>
      </x:c>
      <x:c r="G28" s="7" t="str">
        <x:v>Monthly</x:v>
      </x:c>
      <x:c r="H28" s="7" t="str">
        <x:v>Yes</x:v>
      </x:c>
      <x:c r="I28" s="9" t="n">
        <x:v>30</x:v>
      </x:c>
      <x:c r="J28" s="7" t="str">
        <x:v>Yes</x:v>
      </x:c>
      <x:c r="K28" s="9" t="n">
        <x:v>20</x:v>
      </x:c>
      <x:c r="L28" s="9" t="n">
        <x:v>5</x:v>
      </x:c>
      <x:c r="M28" s="9" t="n">
        <x:v>60</x:v>
      </x:c>
    </x:row>
    <x:row r="29">
      <x:c r="A29" s="7" t="n">
        <x:v>3258</x:v>
      </x:c>
      <x:c r="B29" s="7" t="str">
        <x:v>Otávio Mendonça</x:v>
      </x:c>
      <x:c r="C29" s="7" t="str">
        <x:v>Standard</x:v>
      </x:c>
      <x:c r="D29" s="8" t="n">
        <x:v>45375</x:v>
      </x:c>
      <x:c r="E29" s="7" t="str">
        <x:v>Yes</x:v>
      </x:c>
      <x:c r="F29" s="9" t="n">
        <x:v>10</x:v>
      </x:c>
      <x:c r="G29" s="7" t="str">
        <x:v>Annual</x:v>
      </x:c>
      <x:c r="H29" s="7" t="str">
        <x:v>No</x:v>
      </x:c>
      <x:c r="I29" s="9" t="str">
        <x:v>-</x:v>
      </x:c>
      <x:c r="J29" s="7" t="str">
        <x:v>Yes</x:v>
      </x:c>
      <x:c r="K29" s="9" t="n">
        <x:v>20</x:v>
      </x:c>
      <x:c r="L29" s="9" t="n">
        <x:v>15</x:v>
      </x:c>
      <x:c r="M29" s="9" t="n">
        <x:v>15</x:v>
      </x:c>
    </x:row>
    <x:row r="30">
      <x:c r="A30" s="7" t="n">
        <x:v>3259</x:v>
      </x:c>
      <x:c r="B30" s="7" t="str">
        <x:v>Paula Ferreira</x:v>
      </x:c>
      <x:c r="C30" s="7" t="str">
        <x:v>Core</x:v>
      </x:c>
      <x:c r="D30" s="8" t="n">
        <x:v>45376</x:v>
      </x:c>
      <x:c r="E30" s="7" t="str">
        <x:v>No</x:v>
      </x:c>
      <x:c r="F30" s="9" t="n">
        <x:v>5</x:v>
      </x:c>
      <x:c r="G30" s="7" t="str">
        <x:v>Monthly</x:v>
      </x:c>
      <x:c r="H30" s="7" t="str">
        <x:v>No</x:v>
      </x:c>
      <x:c r="I30" s="9" t="str">
        <x:v>-</x:v>
      </x:c>
      <x:c r="J30" s="7" t="str">
        <x:v>No</x:v>
      </x:c>
      <x:c r="K30" s="9" t="n">
        <x:v>0</x:v>
      </x:c>
      <x:c r="L30" s="9" t="n">
        <x:v>1</x:v>
      </x:c>
      <x:c r="M30" s="9" t="n">
        <x:v>4</x:v>
      </x:c>
    </x:row>
    <x:row r="31">
      <x:c r="A31" s="7" t="n">
        <x:v>3260</x:v>
      </x:c>
      <x:c r="B31" s="7" t="str">
        <x:v>Raquel Alves</x:v>
      </x:c>
      <x:c r="C31" s="7" t="str">
        <x:v>Ultimate</x:v>
      </x:c>
      <x:c r="D31" s="8" t="n">
        <x:v>45377</x:v>
      </x:c>
      <x:c r="E31" s="7" t="str">
        <x:v>Yes</x:v>
      </x:c>
      <x:c r="F31" s="9" t="n">
        <x:v>15</x:v>
      </x:c>
      <x:c r="G31" s="7" t="str">
        <x:v>Quarterly</x:v>
      </x:c>
      <x:c r="H31" s="7" t="str">
        <x:v>Yes</x:v>
      </x:c>
      <x:c r="I31" s="9" t="n">
        <x:v>30</x:v>
      </x:c>
      <x:c r="J31" s="7" t="str">
        <x:v>Yes</x:v>
      </x:c>
      <x:c r="K31" s="9" t="n">
        <x:v>20</x:v>
      </x:c>
      <x:c r="L31" s="9" t="n">
        <x:v>7</x:v>
      </x:c>
      <x:c r="M31" s="9" t="n">
        <x:v>58</x:v>
      </x:c>
    </x:row>
    <x:row r="32">
      <x:c r="A32" s="7" t="n">
        <x:v>3261</x:v>
      </x:c>
      <x:c r="B32" s="7" t="str">
        <x:v>Samuel Pires</x:v>
      </x:c>
      <x:c r="C32" s="7" t="str">
        <x:v>Standard</x:v>
      </x:c>
      <x:c r="D32" s="8" t="n">
        <x:v>45378</x:v>
      </x:c>
      <x:c r="E32" s="7" t="str">
        <x:v>No</x:v>
      </x:c>
      <x:c r="F32" s="9" t="n">
        <x:v>10</x:v>
      </x:c>
      <x:c r="G32" s="7" t="str">
        <x:v>Monthly</x:v>
      </x:c>
      <x:c r="H32" s="7" t="str">
        <x:v>No</x:v>
      </x:c>
      <x:c r="I32" s="9" t="str">
        <x:v>-</x:v>
      </x:c>
      <x:c r="J32" s="7" t="str">
        <x:v>Yes</x:v>
      </x:c>
      <x:c r="K32" s="9" t="n">
        <x:v>20</x:v>
      </x:c>
      <x:c r="L32" s="9" t="n">
        <x:v>10</x:v>
      </x:c>
      <x:c r="M32" s="9" t="n">
        <x:v>20</x:v>
      </x:c>
    </x:row>
    <x:row r="33">
      <x:c r="A33" s="7" t="n">
        <x:v>3262</x:v>
      </x:c>
      <x:c r="B33" s="7" t="str">
        <x:v>Tânia Barros</x:v>
      </x:c>
      <x:c r="C33" s="7" t="str">
        <x:v>Core</x:v>
      </x:c>
      <x:c r="D33" s="8" t="n">
        <x:v>45379</x:v>
      </x:c>
      <x:c r="E33" s="7" t="str">
        <x:v>Yes</x:v>
      </x:c>
      <x:c r="F33" s="9" t="n">
        <x:v>5</x:v>
      </x:c>
      <x:c r="G33" s="7" t="str">
        <x:v>Annual</x:v>
      </x:c>
      <x:c r="H33" s="7" t="str">
        <x:v>No</x:v>
      </x:c>
      <x:c r="I33" s="9" t="str">
        <x:v>-</x:v>
      </x:c>
      <x:c r="J33" s="7" t="str">
        <x:v>No</x:v>
      </x:c>
      <x:c r="K33" s="9" t="n">
        <x:v>0</x:v>
      </x:c>
      <x:c r="L33" s="9" t="n">
        <x:v>0</x:v>
      </x:c>
      <x:c r="M33" s="9" t="n">
        <x:v>5</x:v>
      </x:c>
    </x:row>
    <x:row r="34">
      <x:c r="A34" s="7" t="n">
        <x:v>3263</x:v>
      </x:c>
      <x:c r="B34" s="7" t="str">
        <x:v>Vinicius Lima</x:v>
      </x:c>
      <x:c r="C34" s="7" t="str">
        <x:v>Ultimate</x:v>
      </x:c>
      <x:c r="D34" s="8" t="n">
        <x:v>45380</x:v>
      </x:c>
      <x:c r="E34" s="7" t="str">
        <x:v>No</x:v>
      </x:c>
      <x:c r="F34" s="9" t="n">
        <x:v>15</x:v>
      </x:c>
      <x:c r="G34" s="7" t="str">
        <x:v>Monthly</x:v>
      </x:c>
      <x:c r="H34" s="7" t="str">
        <x:v>Yes</x:v>
      </x:c>
      <x:c r="I34" s="9" t="n">
        <x:v>30</x:v>
      </x:c>
      <x:c r="J34" s="7" t="str">
        <x:v>Yes</x:v>
      </x:c>
      <x:c r="K34" s="9" t="n">
        <x:v>20</x:v>
      </x:c>
      <x:c r="L34" s="9" t="n">
        <x:v>3</x:v>
      </x:c>
      <x:c r="M34" s="9" t="n">
        <x:v>62</x:v>
      </x:c>
    </x:row>
    <x:row r="35">
      <x:c r="A35" s="7" t="n">
        <x:v>3264</x:v>
      </x:c>
      <x:c r="B35" s="7" t="str">
        <x:v>Yasmin Teixeira</x:v>
      </x:c>
      <x:c r="C35" s="7" t="str">
        <x:v>Standard</x:v>
      </x:c>
      <x:c r="D35" s="8" t="n">
        <x:v>45381</x:v>
      </x:c>
      <x:c r="E35" s="7" t="str">
        <x:v>Yes</x:v>
      </x:c>
      <x:c r="F35" s="9" t="n">
        <x:v>10</x:v>
      </x:c>
      <x:c r="G35" s="7" t="str">
        <x:v>Quarterly</x:v>
      </x:c>
      <x:c r="H35" s="7" t="str">
        <x:v>No</x:v>
      </x:c>
      <x:c r="I35" s="9" t="str">
        <x:v>-</x:v>
      </x:c>
      <x:c r="J35" s="7" t="str">
        <x:v>Yes</x:v>
      </x:c>
      <x:c r="K35" s="9" t="n">
        <x:v>20</x:v>
      </x:c>
      <x:c r="L35" s="9" t="n">
        <x:v>15</x:v>
      </x:c>
      <x:c r="M35" s="9" t="n">
        <x:v>15</x:v>
      </x:c>
    </x:row>
    <x:row r="36">
      <x:c r="A36" s="7" t="n">
        <x:v>3265</x:v>
      </x:c>
      <x:c r="B36" s="7" t="str">
        <x:v>Zé Carlos</x:v>
      </x:c>
      <x:c r="C36" s="7" t="str">
        <x:v>Core</x:v>
      </x:c>
      <x:c r="D36" s="8" t="n">
        <x:v>45382</x:v>
      </x:c>
      <x:c r="E36" s="7" t="str">
        <x:v>No</x:v>
      </x:c>
      <x:c r="F36" s="9" t="n">
        <x:v>5</x:v>
      </x:c>
      <x:c r="G36" s="7" t="str">
        <x:v>Monthly</x:v>
      </x:c>
      <x:c r="H36" s="7" t="str">
        <x:v>No</x:v>
      </x:c>
      <x:c r="I36" s="9" t="str">
        <x:v>-</x:v>
      </x:c>
      <x:c r="J36" s="7" t="str">
        <x:v>No</x:v>
      </x:c>
      <x:c r="K36" s="9" t="n">
        <x:v>0</x:v>
      </x:c>
      <x:c r="L36" s="9" t="n">
        <x:v>1</x:v>
      </x:c>
      <x:c r="M36" s="9" t="n">
        <x:v>4</x:v>
      </x:c>
    </x:row>
    <x:row r="37">
      <x:c r="A37" s="7" t="n">
        <x:v>3266</x:v>
      </x:c>
      <x:c r="B37" s="7" t="str">
        <x:v>Amanda Nogueira</x:v>
      </x:c>
      <x:c r="C37" s="7" t="str">
        <x:v>Core</x:v>
      </x:c>
      <x:c r="D37" s="8" t="n">
        <x:v>45383</x:v>
      </x:c>
      <x:c r="E37" s="7" t="str">
        <x:v>Yes</x:v>
      </x:c>
      <x:c r="F37" s="9" t="n">
        <x:v>5</x:v>
      </x:c>
      <x:c r="G37" s="7" t="str">
        <x:v>Monthly</x:v>
      </x:c>
      <x:c r="H37" s="7" t="str">
        <x:v>No</x:v>
      </x:c>
      <x:c r="I37" s="9" t="str">
        <x:v>-</x:v>
      </x:c>
      <x:c r="J37" s="7" t="str">
        <x:v>No</x:v>
      </x:c>
      <x:c r="K37" s="9" t="n">
        <x:v>0</x:v>
      </x:c>
      <x:c r="L37" s="9" t="n">
        <x:v>0</x:v>
      </x:c>
      <x:c r="M37" s="9" t="n">
        <x:v>5</x:v>
      </x:c>
    </x:row>
    <x:row r="38">
      <x:c r="A38" s="7" t="n">
        <x:v>3267</x:v>
      </x:c>
      <x:c r="B38" s="7" t="str">
        <x:v>Bruno Cavalheiro</x:v>
      </x:c>
      <x:c r="C38" s="7" t="str">
        <x:v>Ultimate</x:v>
      </x:c>
      <x:c r="D38" s="8" t="n">
        <x:v>45384</x:v>
      </x:c>
      <x:c r="E38" s="7" t="str">
        <x:v>No</x:v>
      </x:c>
      <x:c r="F38" s="9" t="n">
        <x:v>15</x:v>
      </x:c>
      <x:c r="G38" s="7" t="str">
        <x:v>Quarterly</x:v>
      </x:c>
      <x:c r="H38" s="7" t="str">
        <x:v>Yes</x:v>
      </x:c>
      <x:c r="I38" s="9" t="n">
        <x:v>30</x:v>
      </x:c>
      <x:c r="J38" s="7" t="str">
        <x:v>Yes</x:v>
      </x:c>
      <x:c r="K38" s="9" t="n">
        <x:v>20</x:v>
      </x:c>
      <x:c r="L38" s="9" t="n">
        <x:v>7</x:v>
      </x:c>
      <x:c r="M38" s="9" t="n">
        <x:v>58</x:v>
      </x:c>
    </x:row>
    <x:row r="39">
      <x:c r="A39" s="7" t="n">
        <x:v>3268</x:v>
      </x:c>
      <x:c r="B39" s="7" t="str">
        <x:v>Carla Dias</x:v>
      </x:c>
      <x:c r="C39" s="7" t="str">
        <x:v>Standard</x:v>
      </x:c>
      <x:c r="D39" s="8" t="n">
        <x:v>45385</x:v>
      </x:c>
      <x:c r="E39" s="7" t="str">
        <x:v>Yes</x:v>
      </x:c>
      <x:c r="F39" s="9" t="n">
        <x:v>10</x:v>
      </x:c>
      <x:c r="G39" s="7" t="str">
        <x:v>Annual</x:v>
      </x:c>
      <x:c r="H39" s="7" t="str">
        <x:v>No</x:v>
      </x:c>
      <x:c r="I39" s="9" t="str">
        <x:v>-</x:v>
      </x:c>
      <x:c r="J39" s="7" t="str">
        <x:v>Yes</x:v>
      </x:c>
      <x:c r="K39" s="9" t="n">
        <x:v>20</x:v>
      </x:c>
      <x:c r="L39" s="9" t="n">
        <x:v>10</x:v>
      </x:c>
      <x:c r="M39" s="9" t="n">
        <x:v>20</x:v>
      </x:c>
    </x:row>
    <x:row r="40">
      <x:c r="A40" s="7" t="n">
        <x:v>3269</x:v>
      </x:c>
      <x:c r="B40" s="7" t="str">
        <x:v>Diego Fontes</x:v>
      </x:c>
      <x:c r="C40" s="7" t="str">
        <x:v>Core</x:v>
      </x:c>
      <x:c r="D40" s="8" t="n">
        <x:v>45386</x:v>
      </x:c>
      <x:c r="E40" s="7" t="str">
        <x:v>No</x:v>
      </x:c>
      <x:c r="F40" s="9" t="n">
        <x:v>5</x:v>
      </x:c>
      <x:c r="G40" s="7" t="str">
        <x:v>Quarterly</x:v>
      </x:c>
      <x:c r="H40" s="7" t="str">
        <x:v>No</x:v>
      </x:c>
      <x:c r="I40" s="9" t="str">
        <x:v>-</x:v>
      </x:c>
      <x:c r="J40" s="7" t="str">
        <x:v>No</x:v>
      </x:c>
      <x:c r="K40" s="9" t="n">
        <x:v>0</x:v>
      </x:c>
      <x:c r="L40" s="9" t="n">
        <x:v>1</x:v>
      </x:c>
      <x:c r="M40" s="9" t="n">
        <x:v>4</x:v>
      </x:c>
    </x:row>
    <x:row r="41">
      <x:c r="A41" s="7" t="n">
        <x:v>3270</x:v>
      </x:c>
      <x:c r="B41" s="7" t="str">
        <x:v>Eunice Lima</x:v>
      </x:c>
      <x:c r="C41" s="7" t="str">
        <x:v>Ultimate</x:v>
      </x:c>
      <x:c r="D41" s="8" t="n">
        <x:v>45387</x:v>
      </x:c>
      <x:c r="E41" s="7" t="str">
        <x:v>Yes</x:v>
      </x:c>
      <x:c r="F41" s="9" t="n">
        <x:v>15</x:v>
      </x:c>
      <x:c r="G41" s="7" t="str">
        <x:v>Monthly</x:v>
      </x:c>
      <x:c r="H41" s="7" t="str">
        <x:v>Yes</x:v>
      </x:c>
      <x:c r="I41" s="9" t="n">
        <x:v>30</x:v>
      </x:c>
      <x:c r="J41" s="7" t="str">
        <x:v>Yes</x:v>
      </x:c>
      <x:c r="K41" s="9" t="n">
        <x:v>20</x:v>
      </x:c>
      <x:c r="L41" s="9" t="n">
        <x:v>15</x:v>
      </x:c>
      <x:c r="M41" s="9" t="n">
        <x:v>50</x:v>
      </x:c>
    </x:row>
    <x:row r="42">
      <x:c r="A42" s="7" t="n">
        <x:v>3271</x:v>
      </x:c>
      <x:c r="B42" s="7" t="str">
        <x:v>Fábio Martins</x:v>
      </x:c>
      <x:c r="C42" s="7" t="str">
        <x:v>Standard</x:v>
      </x:c>
      <x:c r="D42" s="8" t="n">
        <x:v>45388</x:v>
      </x:c>
      <x:c r="E42" s="7" t="str">
        <x:v>No</x:v>
      </x:c>
      <x:c r="F42" s="9" t="n">
        <x:v>10</x:v>
      </x:c>
      <x:c r="G42" s="7" t="str">
        <x:v>Monthly</x:v>
      </x:c>
      <x:c r="H42" s="7" t="str">
        <x:v>No</x:v>
      </x:c>
      <x:c r="I42" s="9" t="str">
        <x:v>-</x:v>
      </x:c>
      <x:c r="J42" s="7" t="str">
        <x:v>Yes</x:v>
      </x:c>
      <x:c r="K42" s="9" t="n">
        <x:v>20</x:v>
      </x:c>
      <x:c r="L42" s="9" t="n">
        <x:v>5</x:v>
      </x:c>
      <x:c r="M42" s="9" t="n">
        <x:v>25</x:v>
      </x:c>
    </x:row>
    <x:row r="43">
      <x:c r="A43" s="7" t="n">
        <x:v>3272</x:v>
      </x:c>
      <x:c r="B43" s="7" t="str">
        <x:v>Gisele Araújo</x:v>
      </x:c>
      <x:c r="C43" s="7" t="str">
        <x:v>Core</x:v>
      </x:c>
      <x:c r="D43" s="8" t="n">
        <x:v>45389</x:v>
      </x:c>
      <x:c r="E43" s="7" t="str">
        <x:v>Yes</x:v>
      </x:c>
      <x:c r="F43" s="9" t="n">
        <x:v>5</x:v>
      </x:c>
      <x:c r="G43" s="7" t="str">
        <x:v>Annual</x:v>
      </x:c>
      <x:c r="H43" s="7" t="str">
        <x:v>No</x:v>
      </x:c>
      <x:c r="I43" s="9" t="str">
        <x:v>-</x:v>
      </x:c>
      <x:c r="J43" s="7" t="str">
        <x:v>No</x:v>
      </x:c>
      <x:c r="K43" s="9" t="n">
        <x:v>0</x:v>
      </x:c>
      <x:c r="L43" s="9" t="n">
        <x:v>0</x:v>
      </x:c>
      <x:c r="M43" s="9" t="n">
        <x:v>5</x:v>
      </x:c>
    </x:row>
    <x:row r="44">
      <x:c r="A44" s="7" t="n">
        <x:v>3273</x:v>
      </x:c>
      <x:c r="B44" s="7" t="str">
        <x:v>Hélio Castro</x:v>
      </x:c>
      <x:c r="C44" s="7" t="str">
        <x:v>Ultimate</x:v>
      </x:c>
      <x:c r="D44" s="8" t="n">
        <x:v>45390</x:v>
      </x:c>
      <x:c r="E44" s="7" t="str">
        <x:v>No</x:v>
      </x:c>
      <x:c r="F44" s="9" t="n">
        <x:v>15</x:v>
      </x:c>
      <x:c r="G44" s="7" t="str">
        <x:v>Quarterly</x:v>
      </x:c>
      <x:c r="H44" s="7" t="str">
        <x:v>Yes</x:v>
      </x:c>
      <x:c r="I44" s="9" t="n">
        <x:v>30</x:v>
      </x:c>
      <x:c r="J44" s="7" t="str">
        <x:v>Yes</x:v>
      </x:c>
      <x:c r="K44" s="9" t="n">
        <x:v>20</x:v>
      </x:c>
      <x:c r="L44" s="9" t="n">
        <x:v>20</x:v>
      </x:c>
      <x:c r="M44" s="9" t="n">
        <x:v>45</x:v>
      </x:c>
    </x:row>
    <x:row r="45">
      <x:c r="A45" s="7" t="n">
        <x:v>3274</x:v>
      </x:c>
      <x:c r="B45" s="7" t="str">
        <x:v>Ingrid Menezes</x:v>
      </x:c>
      <x:c r="C45" s="7" t="str">
        <x:v>Standard</x:v>
      </x:c>
      <x:c r="D45" s="8" t="n">
        <x:v>45391</x:v>
      </x:c>
      <x:c r="E45" s="7" t="str">
        <x:v>Yes</x:v>
      </x:c>
      <x:c r="F45" s="9" t="n">
        <x:v>10</x:v>
      </x:c>
      <x:c r="G45" s="7" t="str">
        <x:v>Quarterly</x:v>
      </x:c>
      <x:c r="H45" s="7" t="str">
        <x:v>No</x:v>
      </x:c>
      <x:c r="I45" s="9" t="str">
        <x:v>-</x:v>
      </x:c>
      <x:c r="J45" s="7" t="str">
        <x:v>Yes</x:v>
      </x:c>
      <x:c r="K45" s="9" t="n">
        <x:v>20</x:v>
      </x:c>
      <x:c r="L45" s="9" t="n">
        <x:v>12</x:v>
      </x:c>
      <x:c r="M45" s="9" t="n">
        <x:v>18</x:v>
      </x:c>
    </x:row>
    <x:row r="46">
      <x:c r="A46" s="7" t="n">
        <x:v>3275</x:v>
      </x:c>
      <x:c r="B46" s="7" t="str">
        <x:v>Jorge Baptista</x:v>
      </x:c>
      <x:c r="C46" s="7" t="str">
        <x:v>Core</x:v>
      </x:c>
      <x:c r="D46" s="8" t="n">
        <x:v>45392</x:v>
      </x:c>
      <x:c r="E46" s="7" t="str">
        <x:v>No</x:v>
      </x:c>
      <x:c r="F46" s="9" t="n">
        <x:v>5</x:v>
      </x:c>
      <x:c r="G46" s="7" t="str">
        <x:v>Monthly</x:v>
      </x:c>
      <x:c r="H46" s="7" t="str">
        <x:v>No</x:v>
      </x:c>
      <x:c r="I46" s="9" t="str">
        <x:v>-</x:v>
      </x:c>
      <x:c r="J46" s="7" t="str">
        <x:v>No</x:v>
      </x:c>
      <x:c r="K46" s="9" t="n">
        <x:v>0</x:v>
      </x:c>
      <x:c r="L46" s="9" t="n">
        <x:v>2</x:v>
      </x:c>
      <x:c r="M46" s="9" t="n">
        <x:v>3</x:v>
      </x:c>
    </x:row>
    <x:row r="47">
      <x:c r="A47" s="7" t="n">
        <x:v>3276</x:v>
      </x:c>
      <x:c r="B47" s="7" t="str">
        <x:v>Kléber Oliveira</x:v>
      </x:c>
      <x:c r="C47" s="7" t="str">
        <x:v>Ultimate</x:v>
      </x:c>
      <x:c r="D47" s="8" t="n">
        <x:v>45393</x:v>
      </x:c>
      <x:c r="E47" s="7" t="str">
        <x:v>Yes</x:v>
      </x:c>
      <x:c r="F47" s="9" t="n">
        <x:v>15</x:v>
      </x:c>
      <x:c r="G47" s="7" t="str">
        <x:v>Annual</x:v>
      </x:c>
      <x:c r="H47" s="7" t="str">
        <x:v>Yes</x:v>
      </x:c>
      <x:c r="I47" s="9" t="n">
        <x:v>30</x:v>
      </x:c>
      <x:c r="J47" s="7" t="str">
        <x:v>Yes</x:v>
      </x:c>
      <x:c r="K47" s="9" t="n">
        <x:v>20</x:v>
      </x:c>
      <x:c r="L47" s="9" t="n">
        <x:v>5</x:v>
      </x:c>
      <x:c r="M47" s="9" t="n">
        <x:v>60</x:v>
      </x:c>
    </x:row>
    <x:row r="48">
      <x:c r="A48" s="7" t="n">
        <x:v>3277</x:v>
      </x:c>
      <x:c r="B48" s="7" t="str">
        <x:v>Luciana Freitas</x:v>
      </x:c>
      <x:c r="C48" s="7" t="str">
        <x:v>Standard</x:v>
      </x:c>
      <x:c r="D48" s="8" t="n">
        <x:v>45394</x:v>
      </x:c>
      <x:c r="E48" s="7" t="str">
        <x:v>No</x:v>
      </x:c>
      <x:c r="F48" s="9" t="n">
        <x:v>10</x:v>
      </x:c>
      <x:c r="G48" s="7" t="str">
        <x:v>Monthly</x:v>
      </x:c>
      <x:c r="H48" s="7" t="str">
        <x:v>No</x:v>
      </x:c>
      <x:c r="I48" s="9" t="str">
        <x:v>-</x:v>
      </x:c>
      <x:c r="J48" s="7" t="str">
        <x:v>Yes</x:v>
      </x:c>
      <x:c r="K48" s="9" t="n">
        <x:v>20</x:v>
      </x:c>
      <x:c r="L48" s="9" t="n">
        <x:v>10</x:v>
      </x:c>
      <x:c r="M48" s="9" t="n">
        <x:v>20</x:v>
      </x:c>
    </x:row>
    <x:row r="49">
      <x:c r="A49" s="7" t="n">
        <x:v>3278</x:v>
      </x:c>
      <x:c r="B49" s="7" t="str">
        <x:v>Márcia Eller</x:v>
      </x:c>
      <x:c r="C49" s="7" t="str">
        <x:v>Core</x:v>
      </x:c>
      <x:c r="D49" s="8" t="n">
        <x:v>45395</x:v>
      </x:c>
      <x:c r="E49" s="7" t="str">
        <x:v>Yes</x:v>
      </x:c>
      <x:c r="F49" s="9" t="n">
        <x:v>5</x:v>
      </x:c>
      <x:c r="G49" s="7" t="str">
        <x:v>Quarterly</x:v>
      </x:c>
      <x:c r="H49" s="7" t="str">
        <x:v>No</x:v>
      </x:c>
      <x:c r="I49" s="9" t="str">
        <x:v>-</x:v>
      </x:c>
      <x:c r="J49" s="7" t="str">
        <x:v>No</x:v>
      </x:c>
      <x:c r="K49" s="9" t="n">
        <x:v>0</x:v>
      </x:c>
      <x:c r="L49" s="9" t="n">
        <x:v>0</x:v>
      </x:c>
      <x:c r="M49" s="9" t="n">
        <x:v>5</x:v>
      </x:c>
    </x:row>
    <x:row r="50">
      <x:c r="A50" s="7" t="n">
        <x:v>3279</x:v>
      </x:c>
      <x:c r="B50" s="7" t="str">
        <x:v>Nilo Peçanha</x:v>
      </x:c>
      <x:c r="C50" s="7" t="str">
        <x:v>Ultimate</x:v>
      </x:c>
      <x:c r="D50" s="8" t="n">
        <x:v>45396</x:v>
      </x:c>
      <x:c r="E50" s="7" t="str">
        <x:v>No</x:v>
      </x:c>
      <x:c r="F50" s="9" t="n">
        <x:v>15</x:v>
      </x:c>
      <x:c r="G50" s="7" t="str">
        <x:v>Monthly</x:v>
      </x:c>
      <x:c r="H50" s="7" t="str">
        <x:v>Yes</x:v>
      </x:c>
      <x:c r="I50" s="9" t="n">
        <x:v>30</x:v>
      </x:c>
      <x:c r="J50" s="7" t="str">
        <x:v>Yes</x:v>
      </x:c>
      <x:c r="K50" s="9" t="n">
        <x:v>20</x:v>
      </x:c>
      <x:c r="L50" s="9" t="n">
        <x:v>3</x:v>
      </x:c>
      <x:c r="M50" s="9" t="n">
        <x:v>62</x:v>
      </x:c>
    </x:row>
    <x:row r="51">
      <x:c r="A51" s="7" t="n">
        <x:v>3280</x:v>
      </x:c>
      <x:c r="B51" s="7" t="str">
        <x:v>Oscar Neves</x:v>
      </x:c>
      <x:c r="C51" s="7" t="str">
        <x:v>Standard</x:v>
      </x:c>
      <x:c r="D51" s="8" t="n">
        <x:v>45397</x:v>
      </x:c>
      <x:c r="E51" s="7" t="str">
        <x:v>Yes</x:v>
      </x:c>
      <x:c r="F51" s="9" t="n">
        <x:v>10</x:v>
      </x:c>
      <x:c r="G51" s="7" t="str">
        <x:v>Annual</x:v>
      </x:c>
      <x:c r="H51" s="7" t="str">
        <x:v>No</x:v>
      </x:c>
      <x:c r="I51" s="9" t="str">
        <x:v>-</x:v>
      </x:c>
      <x:c r="J51" s="7" t="str">
        <x:v>Yes</x:v>
      </x:c>
      <x:c r="K51" s="9" t="n">
        <x:v>20</x:v>
      </x:c>
      <x:c r="L51" s="9" t="n">
        <x:v>15</x:v>
      </x:c>
      <x:c r="M51" s="9" t="n">
        <x:v>15</x:v>
      </x:c>
    </x:row>
    <x:row r="52">
      <x:c r="A52" s="7" t="n">
        <x:v>3281</x:v>
      </x:c>
      <x:c r="B52" s="7" t="str">
        <x:v>Patrícia Soares</x:v>
      </x:c>
      <x:c r="C52" s="7" t="str">
        <x:v>Core</x:v>
      </x:c>
      <x:c r="D52" s="8" t="n">
        <x:v>45398</x:v>
      </x:c>
      <x:c r="E52" s="7" t="str">
        <x:v>No</x:v>
      </x:c>
      <x:c r="F52" s="9" t="n">
        <x:v>5</x:v>
      </x:c>
      <x:c r="G52" s="7" t="str">
        <x:v>Monthly</x:v>
      </x:c>
      <x:c r="H52" s="7" t="str">
        <x:v>No</x:v>
      </x:c>
      <x:c r="I52" s="9" t="str">
        <x:v>-</x:v>
      </x:c>
      <x:c r="J52" s="7" t="str">
        <x:v>No</x:v>
      </x:c>
      <x:c r="K52" s="9" t="n">
        <x:v>0</x:v>
      </x:c>
      <x:c r="L52" s="9" t="n">
        <x:v>1</x:v>
      </x:c>
      <x:c r="M52" s="9" t="n">
        <x:v>4</x:v>
      </x:c>
    </x:row>
    <x:row r="53">
      <x:c r="A53" s="7" t="n">
        <x:v>3282</x:v>
      </x:c>
      <x:c r="B53" s="7" t="str">
        <x:v>Quirino Gonçalves</x:v>
      </x:c>
      <x:c r="C53" s="7" t="str">
        <x:v>Ultimate</x:v>
      </x:c>
      <x:c r="D53" s="8" t="n">
        <x:v>45399</x:v>
      </x:c>
      <x:c r="E53" s="7" t="str">
        <x:v>Yes</x:v>
      </x:c>
      <x:c r="F53" s="9" t="n">
        <x:v>15</x:v>
      </x:c>
      <x:c r="G53" s="7" t="str">
        <x:v>Quarterly</x:v>
      </x:c>
      <x:c r="H53" s="7" t="str">
        <x:v>Yes</x:v>
      </x:c>
      <x:c r="I53" s="9" t="n">
        <x:v>30</x:v>
      </x:c>
      <x:c r="J53" s="7" t="str">
        <x:v>Yes</x:v>
      </x:c>
      <x:c r="K53" s="9" t="n">
        <x:v>20</x:v>
      </x:c>
      <x:c r="L53" s="9" t="n">
        <x:v>7</x:v>
      </x:c>
      <x:c r="M53" s="9" t="n">
        <x:v>58</x:v>
      </x:c>
    </x:row>
    <x:row r="54">
      <x:c r="A54" s="7" t="n">
        <x:v>3283</x:v>
      </x:c>
      <x:c r="B54" s="7" t="str">
        <x:v>Raul Machado</x:v>
      </x:c>
      <x:c r="C54" s="7" t="str">
        <x:v>Standard</x:v>
      </x:c>
      <x:c r="D54" s="8" t="n">
        <x:v>45400</x:v>
      </x:c>
      <x:c r="E54" s="7" t="str">
        <x:v>No</x:v>
      </x:c>
      <x:c r="F54" s="9" t="n">
        <x:v>10</x:v>
      </x:c>
      <x:c r="G54" s="7" t="str">
        <x:v>Monthly</x:v>
      </x:c>
      <x:c r="H54" s="7" t="str">
        <x:v>No</x:v>
      </x:c>
      <x:c r="I54" s="9" t="str">
        <x:v>-</x:v>
      </x:c>
      <x:c r="J54" s="7" t="str">
        <x:v>Yes</x:v>
      </x:c>
      <x:c r="K54" s="9" t="n">
        <x:v>20</x:v>
      </x:c>
      <x:c r="L54" s="9" t="n">
        <x:v>10</x:v>
      </x:c>
      <x:c r="M54" s="9" t="n">
        <x:v>20</x:v>
      </x:c>
    </x:row>
    <x:row r="55">
      <x:c r="A55" s="7" t="n">
        <x:v>3284</x:v>
      </x:c>
      <x:c r="B55" s="7" t="str">
        <x:v>Sônia Lobo</x:v>
      </x:c>
      <x:c r="C55" s="7" t="str">
        <x:v>Core</x:v>
      </x:c>
      <x:c r="D55" s="8" t="n">
        <x:v>45401</x:v>
      </x:c>
      <x:c r="E55" s="7" t="str">
        <x:v>Yes</x:v>
      </x:c>
      <x:c r="F55" s="9" t="n">
        <x:v>5</x:v>
      </x:c>
      <x:c r="G55" s="7" t="str">
        <x:v>Annual</x:v>
      </x:c>
      <x:c r="H55" s="7" t="str">
        <x:v>No</x:v>
      </x:c>
      <x:c r="I55" s="9" t="str">
        <x:v>-</x:v>
      </x:c>
      <x:c r="J55" s="7" t="str">
        <x:v>No</x:v>
      </x:c>
      <x:c r="K55" s="9" t="n">
        <x:v>0</x:v>
      </x:c>
      <x:c r="L55" s="9" t="n">
        <x:v>0</x:v>
      </x:c>
      <x:c r="M55" s="9" t="n">
        <x:v>5</x:v>
      </x:c>
    </x:row>
    <x:row r="56">
      <x:c r="A56" s="7" t="n">
        <x:v>3285</x:v>
      </x:c>
      <x:c r="B56" s="7" t="str">
        <x:v>Tiago Ramos</x:v>
      </x:c>
      <x:c r="C56" s="7" t="str">
        <x:v>Ultimate</x:v>
      </x:c>
      <x:c r="D56" s="8" t="n">
        <x:v>45402</x:v>
      </x:c>
      <x:c r="E56" s="7" t="str">
        <x:v>No</x:v>
      </x:c>
      <x:c r="F56" s="9" t="n">
        <x:v>15</x:v>
      </x:c>
      <x:c r="G56" s="7" t="str">
        <x:v>Monthly</x:v>
      </x:c>
      <x:c r="H56" s="7" t="str">
        <x:v>Yes</x:v>
      </x:c>
      <x:c r="I56" s="9" t="n">
        <x:v>30</x:v>
      </x:c>
      <x:c r="J56" s="7" t="str">
        <x:v>Yes</x:v>
      </x:c>
      <x:c r="K56" s="9" t="n">
        <x:v>20</x:v>
      </x:c>
      <x:c r="L56" s="9" t="n">
        <x:v>20</x:v>
      </x:c>
      <x:c r="M56" s="9" t="n">
        <x:v>45</x:v>
      </x:c>
    </x:row>
    <x:row r="57">
      <x:c r="A57" s="7" t="n">
        <x:v>3286</x:v>
      </x:c>
      <x:c r="B57" s="7" t="str">
        <x:v>Ugo Pires</x:v>
      </x:c>
      <x:c r="C57" s="7" t="str">
        <x:v>Standard</x:v>
      </x:c>
      <x:c r="D57" s="8" t="n">
        <x:v>45403</x:v>
      </x:c>
      <x:c r="E57" s="7" t="str">
        <x:v>Yes</x:v>
      </x:c>
      <x:c r="F57" s="9" t="n">
        <x:v>10</x:v>
      </x:c>
      <x:c r="G57" s="7" t="str">
        <x:v>Quarterly</x:v>
      </x:c>
      <x:c r="H57" s="7" t="str">
        <x:v>No</x:v>
      </x:c>
      <x:c r="I57" s="9" t="str">
        <x:v>-</x:v>
      </x:c>
      <x:c r="J57" s="7" t="str">
        <x:v>Yes</x:v>
      </x:c>
      <x:c r="K57" s="9" t="n">
        <x:v>20</x:v>
      </x:c>
      <x:c r="L57" s="9" t="n">
        <x:v>15</x:v>
      </x:c>
      <x:c r="M57" s="9" t="n">
        <x:v>15</x:v>
      </x:c>
    </x:row>
    <x:row r="58">
      <x:c r="A58" s="7" t="n">
        <x:v>3287</x:v>
      </x:c>
      <x:c r="B58" s="7" t="str">
        <x:v>Valéria Nobre</x:v>
      </x:c>
      <x:c r="C58" s="7" t="str">
        <x:v>Core</x:v>
      </x:c>
      <x:c r="D58" s="8" t="n">
        <x:v>45404</x:v>
      </x:c>
      <x:c r="E58" s="7" t="str">
        <x:v>No</x:v>
      </x:c>
      <x:c r="F58" s="9" t="n">
        <x:v>5</x:v>
      </x:c>
      <x:c r="G58" s="7" t="str">
        <x:v>Monthly</x:v>
      </x:c>
      <x:c r="H58" s="7" t="str">
        <x:v>No</x:v>
      </x:c>
      <x:c r="I58" s="9" t="str">
        <x:v>-</x:v>
      </x:c>
      <x:c r="J58" s="7" t="str">
        <x:v>No</x:v>
      </x:c>
      <x:c r="K58" s="9" t="n">
        <x:v>0</x:v>
      </x:c>
      <x:c r="L58" s="9" t="n">
        <x:v>1</x:v>
      </x:c>
      <x:c r="M58" s="9" t="n">
        <x:v>4</x:v>
      </x:c>
    </x:row>
    <x:row r="59">
      <x:c r="A59" s="7" t="n">
        <x:v>3288</x:v>
      </x:c>
      <x:c r="B59" s="7" t="str">
        <x:v>William Siqueira</x:v>
      </x:c>
      <x:c r="C59" s="7" t="str">
        <x:v>Ultimate</x:v>
      </x:c>
      <x:c r="D59" s="8" t="n">
        <x:v>45405</x:v>
      </x:c>
      <x:c r="E59" s="7" t="str">
        <x:v>Yes</x:v>
      </x:c>
      <x:c r="F59" s="9" t="n">
        <x:v>15</x:v>
      </x:c>
      <x:c r="G59" s="7" t="str">
        <x:v>Annual</x:v>
      </x:c>
      <x:c r="H59" s="7" t="str">
        <x:v>Yes</x:v>
      </x:c>
      <x:c r="I59" s="9" t="n">
        <x:v>30</x:v>
      </x:c>
      <x:c r="J59" s="7" t="str">
        <x:v>Yes</x:v>
      </x:c>
      <x:c r="K59" s="9" t="n">
        <x:v>20</x:v>
      </x:c>
      <x:c r="L59" s="9" t="n">
        <x:v>3</x:v>
      </x:c>
      <x:c r="M59" s="9" t="n">
        <x:v>62</x:v>
      </x:c>
    </x:row>
    <x:row r="60">
      <x:c r="A60" s="7" t="n">
        <x:v>3289</x:v>
      </x:c>
      <x:c r="B60" s="7" t="str">
        <x:v>Xuxa Meneghel</x:v>
      </x:c>
      <x:c r="C60" s="7" t="str">
        <x:v>Standard</x:v>
      </x:c>
      <x:c r="D60" s="8" t="n">
        <x:v>45406</x:v>
      </x:c>
      <x:c r="E60" s="7" t="str">
        <x:v>No</x:v>
      </x:c>
      <x:c r="F60" s="9" t="n">
        <x:v>10</x:v>
      </x:c>
      <x:c r="G60" s="7" t="str">
        <x:v>Monthly</x:v>
      </x:c>
      <x:c r="H60" s="7" t="str">
        <x:v>No</x:v>
      </x:c>
      <x:c r="I60" s="9" t="str">
        <x:v>-</x:v>
      </x:c>
      <x:c r="J60" s="7" t="str">
        <x:v>Yes</x:v>
      </x:c>
      <x:c r="K60" s="9" t="n">
        <x:v>20</x:v>
      </x:c>
      <x:c r="L60" s="9" t="n">
        <x:v>10</x:v>
      </x:c>
      <x:c r="M60" s="9" t="n">
        <x:v>20</x:v>
      </x:c>
    </x:row>
    <x:row r="61">
      <x:c r="A61" s="7" t="n">
        <x:v>3290</x:v>
      </x:c>
      <x:c r="B61" s="7" t="str">
        <x:v>Yara Figueiredo</x:v>
      </x:c>
      <x:c r="C61" s="7" t="str">
        <x:v>Core</x:v>
      </x:c>
      <x:c r="D61" s="8" t="n">
        <x:v>45407</x:v>
      </x:c>
      <x:c r="E61" s="7" t="str">
        <x:v>Yes</x:v>
      </x:c>
      <x:c r="F61" s="9" t="n">
        <x:v>5</x:v>
      </x:c>
      <x:c r="G61" s="7" t="str">
        <x:v>Quarterly</x:v>
      </x:c>
      <x:c r="H61" s="7" t="str">
        <x:v>No</x:v>
      </x:c>
      <x:c r="I61" s="9" t="str">
        <x:v>-</x:v>
      </x:c>
      <x:c r="J61" s="7" t="str">
        <x:v>No</x:v>
      </x:c>
      <x:c r="K61" s="9" t="n">
        <x:v>0</x:v>
      </x:c>
      <x:c r="L61" s="9" t="n">
        <x:v>0</x:v>
      </x:c>
      <x:c r="M61" s="9" t="n">
        <x:v>5</x:v>
      </x:c>
    </x:row>
    <x:row r="62">
      <x:c r="A62" s="7" t="n">
        <x:v>3291</x:v>
      </x:c>
      <x:c r="B62" s="7" t="str">
        <x:v>Zacarias Alves</x:v>
      </x:c>
      <x:c r="C62" s="7" t="str">
        <x:v>Ultimate</x:v>
      </x:c>
      <x:c r="D62" s="8" t="n">
        <x:v>45408</x:v>
      </x:c>
      <x:c r="E62" s="7" t="str">
        <x:v>No</x:v>
      </x:c>
      <x:c r="F62" s="9" t="n">
        <x:v>15</x:v>
      </x:c>
      <x:c r="G62" s="7" t="str">
        <x:v>Monthly</x:v>
      </x:c>
      <x:c r="H62" s="7" t="str">
        <x:v>Yes</x:v>
      </x:c>
      <x:c r="I62" s="9" t="n">
        <x:v>30</x:v>
      </x:c>
      <x:c r="J62" s="7" t="str">
        <x:v>Yes</x:v>
      </x:c>
      <x:c r="K62" s="9" t="n">
        <x:v>20</x:v>
      </x:c>
      <x:c r="L62" s="9" t="n">
        <x:v>5</x:v>
      </x:c>
      <x:c r="M62" s="9" t="n">
        <x:v>60</x:v>
      </x:c>
    </x:row>
    <x:row r="63">
      <x:c r="A63" s="7" t="n">
        <x:v>3292</x:v>
      </x:c>
      <x:c r="B63" s="7" t="str">
        <x:v>Amanda Bynes</x:v>
      </x:c>
      <x:c r="C63" s="7" t="str">
        <x:v>Standard</x:v>
      </x:c>
      <x:c r="D63" s="8" t="n">
        <x:v>45409</x:v>
      </x:c>
      <x:c r="E63" s="7" t="str">
        <x:v>Yes</x:v>
      </x:c>
      <x:c r="F63" s="9" t="n">
        <x:v>10</x:v>
      </x:c>
      <x:c r="G63" s="7" t="str">
        <x:v>Annual</x:v>
      </x:c>
      <x:c r="H63" s="7" t="str">
        <x:v>No</x:v>
      </x:c>
      <x:c r="I63" s="9" t="str">
        <x:v>-</x:v>
      </x:c>
      <x:c r="J63" s="7" t="str">
        <x:v>Yes</x:v>
      </x:c>
      <x:c r="K63" s="9" t="n">
        <x:v>20</x:v>
      </x:c>
      <x:c r="L63" s="9" t="n">
        <x:v>15</x:v>
      </x:c>
      <x:c r="M63" s="9" t="n">
        <x:v>15</x:v>
      </x:c>
    </x:row>
    <x:row r="64">
      <x:c r="A64" s="7" t="n">
        <x:v>3293</x:v>
      </x:c>
      <x:c r="B64" s="7" t="str">
        <x:v>Bruno Mars</x:v>
      </x:c>
      <x:c r="C64" s="7" t="str">
        <x:v>Core</x:v>
      </x:c>
      <x:c r="D64" s="8" t="n">
        <x:v>45410</x:v>
      </x:c>
      <x:c r="E64" s="7" t="str">
        <x:v>No</x:v>
      </x:c>
      <x:c r="F64" s="9" t="n">
        <x:v>5</x:v>
      </x:c>
      <x:c r="G64" s="7" t="str">
        <x:v>Monthly</x:v>
      </x:c>
      <x:c r="H64" s="7" t="str">
        <x:v>No</x:v>
      </x:c>
      <x:c r="I64" s="9" t="str">
        <x:v>-</x:v>
      </x:c>
      <x:c r="J64" s="7" t="str">
        <x:v>No</x:v>
      </x:c>
      <x:c r="K64" s="9" t="n">
        <x:v>0</x:v>
      </x:c>
      <x:c r="L64" s="9" t="n">
        <x:v>1</x:v>
      </x:c>
      <x:c r="M64" s="9" t="n">
        <x:v>4</x:v>
      </x:c>
    </x:row>
    <x:row r="65">
      <x:c r="A65" s="7" t="n">
        <x:v>3294</x:v>
      </x:c>
      <x:c r="B65" s="7" t="str">
        <x:v>Carla Bruni</x:v>
      </x:c>
      <x:c r="C65" s="7" t="str">
        <x:v>Ultimate</x:v>
      </x:c>
      <x:c r="D65" s="8" t="n">
        <x:v>45411</x:v>
      </x:c>
      <x:c r="E65" s="7" t="str">
        <x:v>Yes</x:v>
      </x:c>
      <x:c r="F65" s="9" t="n">
        <x:v>15</x:v>
      </x:c>
      <x:c r="G65" s="7" t="str">
        <x:v>Quarterly</x:v>
      </x:c>
      <x:c r="H65" s="7" t="str">
        <x:v>Yes</x:v>
      </x:c>
      <x:c r="I65" s="9" t="n">
        <x:v>30</x:v>
      </x:c>
      <x:c r="J65" s="7" t="str">
        <x:v>Yes</x:v>
      </x:c>
      <x:c r="K65" s="9" t="n">
        <x:v>20</x:v>
      </x:c>
      <x:c r="L65" s="9" t="n">
        <x:v>20</x:v>
      </x:c>
      <x:c r="M65" s="9" t="n">
        <x:v>45</x:v>
      </x:c>
    </x:row>
    <x:row r="66">
      <x:c r="A66" s="7" t="n">
        <x:v>3295</x:v>
      </x:c>
      <x:c r="B66" s="7" t="str">
        <x:v>Diego Maradona</x:v>
      </x:c>
      <x:c r="C66" s="7" t="str">
        <x:v>Standard</x:v>
      </x:c>
      <x:c r="D66" s="8" t="n">
        <x:v>45412</x:v>
      </x:c>
      <x:c r="E66" s="7" t="str">
        <x:v>No</x:v>
      </x:c>
      <x:c r="F66" s="9" t="n">
        <x:v>10</x:v>
      </x:c>
      <x:c r="G66" s="7" t="str">
        <x:v>Monthly</x:v>
      </x:c>
      <x:c r="H66" s="7" t="str">
        <x:v>No</x:v>
      </x:c>
      <x:c r="I66" s="9" t="str">
        <x:v>-</x:v>
      </x:c>
      <x:c r="J66" s="7" t="str">
        <x:v>Yes</x:v>
      </x:c>
      <x:c r="K66" s="9" t="n">
        <x:v>20</x:v>
      </x:c>
      <x:c r="L66" s="9" t="n">
        <x:v>5</x:v>
      </x:c>
      <x:c r="M66" s="9" t="n">
        <x:v>25</x:v>
      </x:c>
    </x:row>
    <x:row r="67">
      <x:c r="A67" s="7" t="n">
        <x:v>3296</x:v>
      </x:c>
      <x:c r="B67" s="7" t="str">
        <x:v>Estela Marques</x:v>
      </x:c>
      <x:c r="C67" s="7" t="str">
        <x:v>Core</x:v>
      </x:c>
      <x:c r="D67" s="8" t="n">
        <x:v>45413</x:v>
      </x:c>
      <x:c r="E67" s="7" t="str">
        <x:v>No</x:v>
      </x:c>
      <x:c r="F67" s="9" t="n">
        <x:v>5</x:v>
      </x:c>
      <x:c r="G67" s="7" t="str">
        <x:v>Monthly</x:v>
      </x:c>
      <x:c r="H67" s="7" t="str">
        <x:v>No</x:v>
      </x:c>
      <x:c r="I67" s="9" t="str">
        <x:v>-</x:v>
      </x:c>
      <x:c r="J67" s="7" t="str">
        <x:v>No</x:v>
      </x:c>
      <x:c r="K67" s="9" t="n">
        <x:v>0</x:v>
      </x:c>
      <x:c r="L67" s="9" t="n">
        <x:v>0</x:v>
      </x:c>
      <x:c r="M67" s="9" t="n">
        <x:v>5</x:v>
      </x:c>
    </x:row>
    <x:row r="68">
      <x:c r="A68" s="7" t="n">
        <x:v>3297</x:v>
      </x:c>
      <x:c r="B68" s="7" t="str">
        <x:v>Fábio Nobre</x:v>
      </x:c>
      <x:c r="C68" s="7" t="str">
        <x:v>Ultimate</x:v>
      </x:c>
      <x:c r="D68" s="8" t="n">
        <x:v>45414</x:v>
      </x:c>
      <x:c r="E68" s="7" t="str">
        <x:v>Yes</x:v>
      </x:c>
      <x:c r="F68" s="9" t="n">
        <x:v>15</x:v>
      </x:c>
      <x:c r="G68" s="7" t="str">
        <x:v>Quarterly</x:v>
      </x:c>
      <x:c r="H68" s="7" t="str">
        <x:v>Yes</x:v>
      </x:c>
      <x:c r="I68" s="9" t="n">
        <x:v>30</x:v>
      </x:c>
      <x:c r="J68" s="7" t="str">
        <x:v>Yes</x:v>
      </x:c>
      <x:c r="K68" s="9" t="n">
        <x:v>20</x:v>
      </x:c>
      <x:c r="L68" s="9" t="n">
        <x:v>7</x:v>
      </x:c>
      <x:c r="M68" s="9" t="n">
        <x:v>58</x:v>
      </x:c>
    </x:row>
    <x:row r="69">
      <x:c r="A69" s="7" t="n">
        <x:v>3298</x:v>
      </x:c>
      <x:c r="B69" s="7" t="str">
        <x:v>Gabriel Oliveira</x:v>
      </x:c>
      <x:c r="C69" s="7" t="str">
        <x:v>Standard</x:v>
      </x:c>
      <x:c r="D69" s="8" t="n">
        <x:v>45415</x:v>
      </x:c>
      <x:c r="E69" s="7" t="str">
        <x:v>No</x:v>
      </x:c>
      <x:c r="F69" s="9" t="n">
        <x:v>10</x:v>
      </x:c>
      <x:c r="G69" s="7" t="str">
        <x:v>Annual</x:v>
      </x:c>
      <x:c r="H69" s="7" t="str">
        <x:v>No</x:v>
      </x:c>
      <x:c r="I69" s="9" t="str">
        <x:v>-</x:v>
      </x:c>
      <x:c r="J69" s="7" t="str">
        <x:v>Yes</x:v>
      </x:c>
      <x:c r="K69" s="9" t="n">
        <x:v>20</x:v>
      </x:c>
      <x:c r="L69" s="9" t="n">
        <x:v>10</x:v>
      </x:c>
      <x:c r="M69" s="9" t="n">
        <x:v>20</x:v>
      </x:c>
    </x:row>
    <x:row r="70">
      <x:c r="A70" s="7" t="n">
        <x:v>3299</x:v>
      </x:c>
      <x:c r="B70" s="7" t="str">
        <x:v>Helena Santos</x:v>
      </x:c>
      <x:c r="C70" s="7" t="str">
        <x:v>Core</x:v>
      </x:c>
      <x:c r="D70" s="8" t="n">
        <x:v>45416</x:v>
      </x:c>
      <x:c r="E70" s="7" t="str">
        <x:v>Yes</x:v>
      </x:c>
      <x:c r="F70" s="9" t="n">
        <x:v>5</x:v>
      </x:c>
      <x:c r="G70" s="7" t="str">
        <x:v>Quarterly</x:v>
      </x:c>
      <x:c r="H70" s="7" t="str">
        <x:v>No</x:v>
      </x:c>
      <x:c r="I70" s="9" t="str">
        <x:v>-</x:v>
      </x:c>
      <x:c r="J70" s="7" t="str">
        <x:v>No</x:v>
      </x:c>
      <x:c r="K70" s="9" t="n">
        <x:v>0</x:v>
      </x:c>
      <x:c r="L70" s="9" t="n">
        <x:v>1</x:v>
      </x:c>
      <x:c r="M70" s="9" t="n">
        <x:v>4</x:v>
      </x:c>
    </x:row>
    <x:row r="71">
      <x:c r="A71" s="7" t="n">
        <x:v>3300</x:v>
      </x:c>
      <x:c r="B71" s="7" t="str">
        <x:v>Ivan Carvalho</x:v>
      </x:c>
      <x:c r="C71" s="7" t="str">
        <x:v>Ultimate</x:v>
      </x:c>
      <x:c r="D71" s="8" t="n">
        <x:v>45417</x:v>
      </x:c>
      <x:c r="E71" s="7" t="str">
        <x:v>No</x:v>
      </x:c>
      <x:c r="F71" s="9" t="n">
        <x:v>15</x:v>
      </x:c>
      <x:c r="G71" s="7" t="str">
        <x:v>Monthly</x:v>
      </x:c>
      <x:c r="H71" s="7" t="str">
        <x:v>Yes</x:v>
      </x:c>
      <x:c r="I71" s="9" t="n">
        <x:v>30</x:v>
      </x:c>
      <x:c r="J71" s="7" t="str">
        <x:v>Yes</x:v>
      </x:c>
      <x:c r="K71" s="9" t="n">
        <x:v>20</x:v>
      </x:c>
      <x:c r="L71" s="9" t="n">
        <x:v>15</x:v>
      </x:c>
      <x:c r="M71" s="9" t="n">
        <x:v>50</x:v>
      </x:c>
    </x:row>
    <x:row r="72">
      <x:c r="A72" s="7" t="n">
        <x:v>3301</x:v>
      </x:c>
      <x:c r="B72" s="7" t="str">
        <x:v>Júlia Ferreira</x:v>
      </x:c>
      <x:c r="C72" s="7" t="str">
        <x:v>Standard</x:v>
      </x:c>
      <x:c r="D72" s="8" t="n">
        <x:v>45418</x:v>
      </x:c>
      <x:c r="E72" s="7" t="str">
        <x:v>Yes</x:v>
      </x:c>
      <x:c r="F72" s="9" t="n">
        <x:v>10</x:v>
      </x:c>
      <x:c r="G72" s="7" t="str">
        <x:v>Monthly</x:v>
      </x:c>
      <x:c r="H72" s="7" t="str">
        <x:v>No</x:v>
      </x:c>
      <x:c r="I72" s="9" t="str">
        <x:v>-</x:v>
      </x:c>
      <x:c r="J72" s="7" t="str">
        <x:v>Yes</x:v>
      </x:c>
      <x:c r="K72" s="9" t="n">
        <x:v>20</x:v>
      </x:c>
      <x:c r="L72" s="9" t="n">
        <x:v>5</x:v>
      </x:c>
      <x:c r="M72" s="9" t="n">
        <x:v>25</x:v>
      </x:c>
    </x:row>
    <x:row r="73">
      <x:c r="A73" s="7" t="n">
        <x:v>3302</x:v>
      </x:c>
      <x:c r="B73" s="7" t="str">
        <x:v>Karla Alves</x:v>
      </x:c>
      <x:c r="C73" s="7" t="str">
        <x:v>Core</x:v>
      </x:c>
      <x:c r="D73" s="8" t="n">
        <x:v>45419</x:v>
      </x:c>
      <x:c r="E73" s="7" t="str">
        <x:v>No</x:v>
      </x:c>
      <x:c r="F73" s="9" t="n">
        <x:v>5</x:v>
      </x:c>
      <x:c r="G73" s="7" t="str">
        <x:v>Annual</x:v>
      </x:c>
      <x:c r="H73" s="7" t="str">
        <x:v>No</x:v>
      </x:c>
      <x:c r="I73" s="9" t="str">
        <x:v>-</x:v>
      </x:c>
      <x:c r="J73" s="7" t="str">
        <x:v>No</x:v>
      </x:c>
      <x:c r="K73" s="9" t="n">
        <x:v>0</x:v>
      </x:c>
      <x:c r="L73" s="9" t="n">
        <x:v>0</x:v>
      </x:c>
      <x:c r="M73" s="9" t="n">
        <x:v>5</x:v>
      </x:c>
    </x:row>
    <x:row r="74">
      <x:c r="A74" s="7" t="n">
        <x:v>3303</x:v>
      </x:c>
      <x:c r="B74" s="7" t="str">
        <x:v>Lucas Mendes</x:v>
      </x:c>
      <x:c r="C74" s="7" t="str">
        <x:v>Ultimate</x:v>
      </x:c>
      <x:c r="D74" s="8" t="n">
        <x:v>45420</x:v>
      </x:c>
      <x:c r="E74" s="7" t="str">
        <x:v>Yes</x:v>
      </x:c>
      <x:c r="F74" s="9" t="n">
        <x:v>15</x:v>
      </x:c>
      <x:c r="G74" s="7" t="str">
        <x:v>Quarterly</x:v>
      </x:c>
      <x:c r="H74" s="7" t="str">
        <x:v>Yes</x:v>
      </x:c>
      <x:c r="I74" s="9" t="n">
        <x:v>30</x:v>
      </x:c>
      <x:c r="J74" s="7" t="str">
        <x:v>Yes</x:v>
      </x:c>
      <x:c r="K74" s="9" t="n">
        <x:v>20</x:v>
      </x:c>
      <x:c r="L74" s="9" t="n">
        <x:v>20</x:v>
      </x:c>
      <x:c r="M74" s="9" t="n">
        <x:v>45</x:v>
      </x:c>
    </x:row>
    <x:row r="75">
      <x:c r="A75" s="7" t="n">
        <x:v>3304</x:v>
      </x:c>
      <x:c r="B75" s="7" t="str">
        <x:v>Mônica Gomes</x:v>
      </x:c>
      <x:c r="C75" s="7" t="str">
        <x:v>Standard</x:v>
      </x:c>
      <x:c r="D75" s="8" t="n">
        <x:v>45421</x:v>
      </x:c>
      <x:c r="E75" s="7" t="str">
        <x:v>No</x:v>
      </x:c>
      <x:c r="F75" s="9" t="n">
        <x:v>10</x:v>
      </x:c>
      <x:c r="G75" s="7" t="str">
        <x:v>Quarterly</x:v>
      </x:c>
      <x:c r="H75" s="7" t="str">
        <x:v>No</x:v>
      </x:c>
      <x:c r="I75" s="9" t="str">
        <x:v>-</x:v>
      </x:c>
      <x:c r="J75" s="7" t="str">
        <x:v>Yes</x:v>
      </x:c>
      <x:c r="K75" s="9" t="n">
        <x:v>20</x:v>
      </x:c>
      <x:c r="L75" s="9" t="n">
        <x:v>12</x:v>
      </x:c>
      <x:c r="M75" s="9" t="n">
        <x:v>18</x:v>
      </x:c>
    </x:row>
    <x:row r="76">
      <x:c r="A76" s="7" t="n">
        <x:v>3305</x:v>
      </x:c>
      <x:c r="B76" s="7" t="str">
        <x:v>Norberto Queiroz</x:v>
      </x:c>
      <x:c r="C76" s="7" t="str">
        <x:v>Core</x:v>
      </x:c>
      <x:c r="D76" s="8" t="n">
        <x:v>45422</x:v>
      </x:c>
      <x:c r="E76" s="7" t="str">
        <x:v>Yes</x:v>
      </x:c>
      <x:c r="F76" s="9" t="n">
        <x:v>5</x:v>
      </x:c>
      <x:c r="G76" s="7" t="str">
        <x:v>Monthly</x:v>
      </x:c>
      <x:c r="H76" s="7" t="str">
        <x:v>No</x:v>
      </x:c>
      <x:c r="I76" s="9" t="str">
        <x:v>-</x:v>
      </x:c>
      <x:c r="J76" s="7" t="str">
        <x:v>No</x:v>
      </x:c>
      <x:c r="K76" s="9" t="n">
        <x:v>0</x:v>
      </x:c>
      <x:c r="L76" s="9" t="n">
        <x:v>2</x:v>
      </x:c>
      <x:c r="M76" s="9" t="n">
        <x:v>3</x:v>
      </x:c>
    </x:row>
    <x:row r="77">
      <x:c r="A77" s="7" t="n">
        <x:v>3306</x:v>
      </x:c>
      <x:c r="B77" s="7" t="str">
        <x:v>Otávio Barros</x:v>
      </x:c>
      <x:c r="C77" s="7" t="str">
        <x:v>Ultimate</x:v>
      </x:c>
      <x:c r="D77" s="8" t="n">
        <x:v>45423</x:v>
      </x:c>
      <x:c r="E77" s="7" t="str">
        <x:v>No</x:v>
      </x:c>
      <x:c r="F77" s="9" t="n">
        <x:v>15</x:v>
      </x:c>
      <x:c r="G77" s="7" t="str">
        <x:v>Annual</x:v>
      </x:c>
      <x:c r="H77" s="7" t="str">
        <x:v>Yes</x:v>
      </x:c>
      <x:c r="I77" s="9" t="n">
        <x:v>30</x:v>
      </x:c>
      <x:c r="J77" s="7" t="str">
        <x:v>Yes</x:v>
      </x:c>
      <x:c r="K77" s="9" t="n">
        <x:v>20</x:v>
      </x:c>
      <x:c r="L77" s="9" t="n">
        <x:v>5</x:v>
      </x:c>
      <x:c r="M77" s="9" t="n">
        <x:v>60</x:v>
      </x:c>
    </x:row>
    <x:row r="78">
      <x:c r="A78" s="7" t="n">
        <x:v>3307</x:v>
      </x:c>
      <x:c r="B78" s="7" t="str">
        <x:v>Paula Vieira</x:v>
      </x:c>
      <x:c r="C78" s="7" t="str">
        <x:v>Standard</x:v>
      </x:c>
      <x:c r="D78" s="8" t="n">
        <x:v>45424</x:v>
      </x:c>
      <x:c r="E78" s="7" t="str">
        <x:v>Yes</x:v>
      </x:c>
      <x:c r="F78" s="9" t="n">
        <x:v>10</x:v>
      </x:c>
      <x:c r="G78" s="7" t="str">
        <x:v>Monthly</x:v>
      </x:c>
      <x:c r="H78" s="7" t="str">
        <x:v>No</x:v>
      </x:c>
      <x:c r="I78" s="9" t="str">
        <x:v>-</x:v>
      </x:c>
      <x:c r="J78" s="7" t="str">
        <x:v>Yes</x:v>
      </x:c>
      <x:c r="K78" s="9" t="n">
        <x:v>20</x:v>
      </x:c>
      <x:c r="L78" s="9" t="n">
        <x:v>10</x:v>
      </x:c>
      <x:c r="M78" s="9" t="n">
        <x:v>20</x:v>
      </x:c>
    </x:row>
    <x:row r="79">
      <x:c r="A79" s="7" t="n">
        <x:v>3308</x:v>
      </x:c>
      <x:c r="B79" s="7" t="str">
        <x:v>Quentin Ramos</x:v>
      </x:c>
      <x:c r="C79" s="7" t="str">
        <x:v>Core</x:v>
      </x:c>
      <x:c r="D79" s="8" t="n">
        <x:v>45425</x:v>
      </x:c>
      <x:c r="E79" s="7" t="str">
        <x:v>No</x:v>
      </x:c>
      <x:c r="F79" s="9" t="n">
        <x:v>5</x:v>
      </x:c>
      <x:c r="G79" s="7" t="str">
        <x:v>Quarterly</x:v>
      </x:c>
      <x:c r="H79" s="7" t="str">
        <x:v>No</x:v>
      </x:c>
      <x:c r="I79" s="9" t="str">
        <x:v>-</x:v>
      </x:c>
      <x:c r="J79" s="7" t="str">
        <x:v>No</x:v>
      </x:c>
      <x:c r="K79" s="9" t="n">
        <x:v>0</x:v>
      </x:c>
      <x:c r="L79" s="9" t="n">
        <x:v>0</x:v>
      </x:c>
      <x:c r="M79" s="9" t="n">
        <x:v>5</x:v>
      </x:c>
    </x:row>
    <x:row r="80">
      <x:c r="A80" s="7" t="n">
        <x:v>3309</x:v>
      </x:c>
      <x:c r="B80" s="7" t="str">
        <x:v>Raquel Novaes</x:v>
      </x:c>
      <x:c r="C80" s="7" t="str">
        <x:v>Ultimate</x:v>
      </x:c>
      <x:c r="D80" s="8" t="n">
        <x:v>45426</x:v>
      </x:c>
      <x:c r="E80" s="7" t="str">
        <x:v>Yes</x:v>
      </x:c>
      <x:c r="F80" s="9" t="n">
        <x:v>15</x:v>
      </x:c>
      <x:c r="G80" s="7" t="str">
        <x:v>Monthly</x:v>
      </x:c>
      <x:c r="H80" s="7" t="str">
        <x:v>Yes</x:v>
      </x:c>
      <x:c r="I80" s="9" t="n">
        <x:v>30</x:v>
      </x:c>
      <x:c r="J80" s="7" t="str">
        <x:v>Yes</x:v>
      </x:c>
      <x:c r="K80" s="9" t="n">
        <x:v>20</x:v>
      </x:c>
      <x:c r="L80" s="9" t="n">
        <x:v>3</x:v>
      </x:c>
      <x:c r="M80" s="9" t="n">
        <x:v>62</x:v>
      </x:c>
    </x:row>
    <x:row r="81">
      <x:c r="A81" s="7" t="n">
        <x:v>3310</x:v>
      </x:c>
      <x:c r="B81" s="7" t="str">
        <x:v>Samantha Lopes</x:v>
      </x:c>
      <x:c r="C81" s="7" t="str">
        <x:v>Standard</x:v>
      </x:c>
      <x:c r="D81" s="8" t="n">
        <x:v>45427</x:v>
      </x:c>
      <x:c r="E81" s="7" t="str">
        <x:v>No</x:v>
      </x:c>
      <x:c r="F81" s="9" t="n">
        <x:v>10</x:v>
      </x:c>
      <x:c r="G81" s="7" t="str">
        <x:v>Annual</x:v>
      </x:c>
      <x:c r="H81" s="7" t="str">
        <x:v>No</x:v>
      </x:c>
      <x:c r="I81" s="9" t="str">
        <x:v>-</x:v>
      </x:c>
      <x:c r="J81" s="7" t="str">
        <x:v>Yes</x:v>
      </x:c>
      <x:c r="K81" s="9" t="n">
        <x:v>20</x:v>
      </x:c>
      <x:c r="L81" s="9" t="n">
        <x:v>15</x:v>
      </x:c>
      <x:c r="M81" s="9" t="n">
        <x:v>15</x:v>
      </x:c>
    </x:row>
    <x:row r="82">
      <x:c r="A82" s="7" t="n">
        <x:v>3311</x:v>
      </x:c>
      <x:c r="B82" s="7" t="str">
        <x:v>Tiago Martins</x:v>
      </x:c>
      <x:c r="C82" s="7" t="str">
        <x:v>Core</x:v>
      </x:c>
      <x:c r="D82" s="8" t="n">
        <x:v>45428</x:v>
      </x:c>
      <x:c r="E82" s="7" t="str">
        <x:v>Yes</x:v>
      </x:c>
      <x:c r="F82" s="9" t="n">
        <x:v>5</x:v>
      </x:c>
      <x:c r="G82" s="7" t="str">
        <x:v>Monthly</x:v>
      </x:c>
      <x:c r="H82" s="7" t="str">
        <x:v>No</x:v>
      </x:c>
      <x:c r="I82" s="9" t="str">
        <x:v>-</x:v>
      </x:c>
      <x:c r="J82" s="7" t="str">
        <x:v>No</x:v>
      </x:c>
      <x:c r="K82" s="9" t="n">
        <x:v>0</x:v>
      </x:c>
      <x:c r="L82" s="9" t="n">
        <x:v>1</x:v>
      </x:c>
      <x:c r="M82" s="9" t="n">
        <x:v>4</x:v>
      </x:c>
    </x:row>
    <x:row r="83">
      <x:c r="A83" s="7" t="n">
        <x:v>3312</x:v>
      </x:c>
      <x:c r="B83" s="7" t="str">
        <x:v>Ulysses Guimarães</x:v>
      </x:c>
      <x:c r="C83" s="7" t="str">
        <x:v>Ultimate</x:v>
      </x:c>
      <x:c r="D83" s="8" t="n">
        <x:v>45429</x:v>
      </x:c>
      <x:c r="E83" s="7" t="str">
        <x:v>No</x:v>
      </x:c>
      <x:c r="F83" s="9" t="n">
        <x:v>15</x:v>
      </x:c>
      <x:c r="G83" s="7" t="str">
        <x:v>Quarterly</x:v>
      </x:c>
      <x:c r="H83" s="7" t="str">
        <x:v>Yes</x:v>
      </x:c>
      <x:c r="I83" s="9" t="n">
        <x:v>30</x:v>
      </x:c>
      <x:c r="J83" s="7" t="str">
        <x:v>Yes</x:v>
      </x:c>
      <x:c r="K83" s="9" t="n">
        <x:v>20</x:v>
      </x:c>
      <x:c r="L83" s="9" t="n">
        <x:v>7</x:v>
      </x:c>
      <x:c r="M83" s="9" t="n">
        <x:v>58</x:v>
      </x:c>
    </x:row>
    <x:row r="84">
      <x:c r="A84" s="7" t="n">
        <x:v>3313</x:v>
      </x:c>
      <x:c r="B84" s="7" t="str">
        <x:v>Vanessa Silva</x:v>
      </x:c>
      <x:c r="C84" s="7" t="str">
        <x:v>Standard</x:v>
      </x:c>
      <x:c r="D84" s="8" t="n">
        <x:v>45430</x:v>
      </x:c>
      <x:c r="E84" s="7" t="str">
        <x:v>Yes</x:v>
      </x:c>
      <x:c r="F84" s="9" t="n">
        <x:v>10</x:v>
      </x:c>
      <x:c r="G84" s="7" t="str">
        <x:v>Monthly</x:v>
      </x:c>
      <x:c r="H84" s="7" t="str">
        <x:v>No</x:v>
      </x:c>
      <x:c r="I84" s="9" t="str">
        <x:v>-</x:v>
      </x:c>
      <x:c r="J84" s="7" t="str">
        <x:v>Yes</x:v>
      </x:c>
      <x:c r="K84" s="9" t="n">
        <x:v>20</x:v>
      </x:c>
      <x:c r="L84" s="9" t="n">
        <x:v>10</x:v>
      </x:c>
      <x:c r="M84" s="9" t="n">
        <x:v>20</x:v>
      </x:c>
    </x:row>
    <x:row r="85">
      <x:c r="A85" s="7" t="n">
        <x:v>3314</x:v>
      </x:c>
      <x:c r="B85" s="7" t="str">
        <x:v>William Carneiro</x:v>
      </x:c>
      <x:c r="C85" s="7" t="str">
        <x:v>Core</x:v>
      </x:c>
      <x:c r="D85" s="8" t="n">
        <x:v>45431</x:v>
      </x:c>
      <x:c r="E85" s="7" t="str">
        <x:v>No</x:v>
      </x:c>
      <x:c r="F85" s="9" t="n">
        <x:v>5</x:v>
      </x:c>
      <x:c r="G85" s="7" t="str">
        <x:v>Annual</x:v>
      </x:c>
      <x:c r="H85" s="7" t="str">
        <x:v>No</x:v>
      </x:c>
      <x:c r="I85" s="9" t="str">
        <x:v>-</x:v>
      </x:c>
      <x:c r="J85" s="7" t="str">
        <x:v>No</x:v>
      </x:c>
      <x:c r="K85" s="9" t="n">
        <x:v>0</x:v>
      </x:c>
      <x:c r="L85" s="9" t="n">
        <x:v>0</x:v>
      </x:c>
      <x:c r="M85" s="9" t="n">
        <x:v>5</x:v>
      </x:c>
    </x:row>
    <x:row r="86">
      <x:c r="A86" s="7" t="n">
        <x:v>3315</x:v>
      </x:c>
      <x:c r="B86" s="7" t="str">
        <x:v>Ximena Rocha</x:v>
      </x:c>
      <x:c r="C86" s="7" t="str">
        <x:v>Ultimate</x:v>
      </x:c>
      <x:c r="D86" s="8" t="n">
        <x:v>45432</x:v>
      </x:c>
      <x:c r="E86" s="7" t="str">
        <x:v>Yes</x:v>
      </x:c>
      <x:c r="F86" s="9" t="n">
        <x:v>15</x:v>
      </x:c>
      <x:c r="G86" s="7" t="str">
        <x:v>Monthly</x:v>
      </x:c>
      <x:c r="H86" s="7" t="str">
        <x:v>Yes</x:v>
      </x:c>
      <x:c r="I86" s="9" t="n">
        <x:v>30</x:v>
      </x:c>
      <x:c r="J86" s="7" t="str">
        <x:v>Yes</x:v>
      </x:c>
      <x:c r="K86" s="9" t="n">
        <x:v>20</x:v>
      </x:c>
      <x:c r="L86" s="9" t="n">
        <x:v>20</x:v>
      </x:c>
      <x:c r="M86" s="9" t="n">
        <x:v>45</x:v>
      </x:c>
    </x:row>
    <x:row r="87">
      <x:c r="A87" s="7" t="n">
        <x:v>3316</x:v>
      </x:c>
      <x:c r="B87" s="7" t="str">
        <x:v>Yasmin Figueiredo</x:v>
      </x:c>
      <x:c r="C87" s="7" t="str">
        <x:v>Standard</x:v>
      </x:c>
      <x:c r="D87" s="8" t="n">
        <x:v>45433</x:v>
      </x:c>
      <x:c r="E87" s="7" t="str">
        <x:v>No</x:v>
      </x:c>
      <x:c r="F87" s="9" t="n">
        <x:v>10</x:v>
      </x:c>
      <x:c r="G87" s="7" t="str">
        <x:v>Quarterly</x:v>
      </x:c>
      <x:c r="H87" s="7" t="str">
        <x:v>No</x:v>
      </x:c>
      <x:c r="I87" s="9" t="str">
        <x:v>-</x:v>
      </x:c>
      <x:c r="J87" s="7" t="str">
        <x:v>Yes</x:v>
      </x:c>
      <x:c r="K87" s="9" t="n">
        <x:v>20</x:v>
      </x:c>
      <x:c r="L87" s="9" t="n">
        <x:v>15</x:v>
      </x:c>
      <x:c r="M87" s="9" t="n">
        <x:v>15</x:v>
      </x:c>
    </x:row>
    <x:row r="88">
      <x:c r="A88" s="7" t="n">
        <x:v>3317</x:v>
      </x:c>
      <x:c r="B88" s="7" t="str">
        <x:v>Zara Cunha</x:v>
      </x:c>
      <x:c r="C88" s="7" t="str">
        <x:v>Core</x:v>
      </x:c>
      <x:c r="D88" s="8" t="n">
        <x:v>45434</x:v>
      </x:c>
      <x:c r="E88" s="7" t="str">
        <x:v>Yes</x:v>
      </x:c>
      <x:c r="F88" s="9" t="n">
        <x:v>5</x:v>
      </x:c>
      <x:c r="G88" s="7" t="str">
        <x:v>Monthly</x:v>
      </x:c>
      <x:c r="H88" s="7" t="str">
        <x:v>No</x:v>
      </x:c>
      <x:c r="I88" s="9" t="str">
        <x:v>-</x:v>
      </x:c>
      <x:c r="J88" s="7" t="str">
        <x:v>No</x:v>
      </x:c>
      <x:c r="K88" s="9" t="n">
        <x:v>0</x:v>
      </x:c>
      <x:c r="L88" s="9" t="n">
        <x:v>1</x:v>
      </x:c>
      <x:c r="M88" s="9" t="n">
        <x:v>4</x:v>
      </x:c>
    </x:row>
    <x:row r="89">
      <x:c r="A89" s="7" t="n">
        <x:v>3318</x:v>
      </x:c>
      <x:c r="B89" s="7" t="str">
        <x:v>Alan Teixeira</x:v>
      </x:c>
      <x:c r="C89" s="7" t="str">
        <x:v>Ultimate</x:v>
      </x:c>
      <x:c r="D89" s="8" t="n">
        <x:v>45435</x:v>
      </x:c>
      <x:c r="E89" s="7" t="str">
        <x:v>No</x:v>
      </x:c>
      <x:c r="F89" s="9" t="n">
        <x:v>15</x:v>
      </x:c>
      <x:c r="G89" s="7" t="str">
        <x:v>Annual</x:v>
      </x:c>
      <x:c r="H89" s="7" t="str">
        <x:v>Yes</x:v>
      </x:c>
      <x:c r="I89" s="9" t="n">
        <x:v>30</x:v>
      </x:c>
      <x:c r="J89" s="7" t="str">
        <x:v>Yes</x:v>
      </x:c>
      <x:c r="K89" s="9" t="n">
        <x:v>20</x:v>
      </x:c>
      <x:c r="L89" s="9" t="n">
        <x:v>3</x:v>
      </x:c>
      <x:c r="M89" s="9" t="n">
        <x:v>62</x:v>
      </x:c>
    </x:row>
    <x:row r="90">
      <x:c r="A90" s="7" t="n">
        <x:v>3319</x:v>
      </x:c>
      <x:c r="B90" s="7" t="str">
        <x:v>Bárbara Oliveira</x:v>
      </x:c>
      <x:c r="C90" s="7" t="str">
        <x:v>Standard</x:v>
      </x:c>
      <x:c r="D90" s="8" t="n">
        <x:v>45436</x:v>
      </x:c>
      <x:c r="E90" s="7" t="str">
        <x:v>Yes</x:v>
      </x:c>
      <x:c r="F90" s="9" t="n">
        <x:v>10</x:v>
      </x:c>
      <x:c r="G90" s="7" t="str">
        <x:v>Monthly</x:v>
      </x:c>
      <x:c r="H90" s="7" t="str">
        <x:v>No</x:v>
      </x:c>
      <x:c r="I90" s="9" t="str">
        <x:v>-</x:v>
      </x:c>
      <x:c r="J90" s="7" t="str">
        <x:v>Yes</x:v>
      </x:c>
      <x:c r="K90" s="9" t="n">
        <x:v>20</x:v>
      </x:c>
      <x:c r="L90" s="9" t="n">
        <x:v>10</x:v>
      </x:c>
      <x:c r="M90" s="9" t="n">
        <x:v>20</x:v>
      </x:c>
    </x:row>
    <x:row r="91">
      <x:c r="A91" s="7" t="n">
        <x:v>3320</x:v>
      </x:c>
      <x:c r="B91" s="7" t="str">
        <x:v>Carlos Junqueira</x:v>
      </x:c>
      <x:c r="C91" s="7" t="str">
        <x:v>Core</x:v>
      </x:c>
      <x:c r="D91" s="8" t="n">
        <x:v>45437</x:v>
      </x:c>
      <x:c r="E91" s="7" t="str">
        <x:v>No</x:v>
      </x:c>
      <x:c r="F91" s="9" t="n">
        <x:v>5</x:v>
      </x:c>
      <x:c r="G91" s="7" t="str">
        <x:v>Quarterly</x:v>
      </x:c>
      <x:c r="H91" s="7" t="str">
        <x:v>No</x:v>
      </x:c>
      <x:c r="I91" s="9" t="str">
        <x:v>-</x:v>
      </x:c>
      <x:c r="J91" s="7" t="str">
        <x:v>No</x:v>
      </x:c>
      <x:c r="K91" s="9" t="n">
        <x:v>0</x:v>
      </x:c>
      <x:c r="L91" s="9" t="n">
        <x:v>0</x:v>
      </x:c>
      <x:c r="M91" s="9" t="n">
        <x:v>5</x:v>
      </x:c>
    </x:row>
    <x:row r="92">
      <x:c r="A92" s="7" t="n">
        <x:v>3321</x:v>
      </x:c>
      <x:c r="B92" s="7" t="str">
        <x:v>Daniela Moura</x:v>
      </x:c>
      <x:c r="C92" s="7" t="str">
        <x:v>Ultimate</x:v>
      </x:c>
      <x:c r="D92" s="8" t="n">
        <x:v>45438</x:v>
      </x:c>
      <x:c r="E92" s="7" t="str">
        <x:v>Yes</x:v>
      </x:c>
      <x:c r="F92" s="9" t="n">
        <x:v>15</x:v>
      </x:c>
      <x:c r="G92" s="7" t="str">
        <x:v>Monthly</x:v>
      </x:c>
      <x:c r="H92" s="7" t="str">
        <x:v>Yes</x:v>
      </x:c>
      <x:c r="I92" s="9" t="n">
        <x:v>30</x:v>
      </x:c>
      <x:c r="J92" s="7" t="str">
        <x:v>Yes</x:v>
      </x:c>
      <x:c r="K92" s="9" t="n">
        <x:v>20</x:v>
      </x:c>
      <x:c r="L92" s="9" t="n">
        <x:v>5</x:v>
      </x:c>
      <x:c r="M92" s="9" t="n">
        <x:v>60</x:v>
      </x:c>
    </x:row>
    <x:row r="93">
      <x:c r="A93" s="7" t="n">
        <x:v>3322</x:v>
      </x:c>
      <x:c r="B93" s="7" t="str">
        <x:v>Eduardo Lima</x:v>
      </x:c>
      <x:c r="C93" s="7" t="str">
        <x:v>Standard</x:v>
      </x:c>
      <x:c r="D93" s="8" t="n">
        <x:v>45439</x:v>
      </x:c>
      <x:c r="E93" s="7" t="str">
        <x:v>No</x:v>
      </x:c>
      <x:c r="F93" s="9" t="n">
        <x:v>10</x:v>
      </x:c>
      <x:c r="G93" s="7" t="str">
        <x:v>Annual</x:v>
      </x:c>
      <x:c r="H93" s="7" t="str">
        <x:v>No</x:v>
      </x:c>
      <x:c r="I93" s="9" t="str">
        <x:v>-</x:v>
      </x:c>
      <x:c r="J93" s="7" t="str">
        <x:v>Yes</x:v>
      </x:c>
      <x:c r="K93" s="9" t="n">
        <x:v>20</x:v>
      </x:c>
      <x:c r="L93" s="9" t="n">
        <x:v>15</x:v>
      </x:c>
      <x:c r="M93" s="9" t="n">
        <x:v>15</x:v>
      </x:c>
    </x:row>
    <x:row r="94">
      <x:c r="A94" s="7" t="n">
        <x:v>3323</x:v>
      </x:c>
      <x:c r="B94" s="7" t="str">
        <x:v>Fabiana Araújo</x:v>
      </x:c>
      <x:c r="C94" s="7" t="str">
        <x:v>Core</x:v>
      </x:c>
      <x:c r="D94" s="8" t="n">
        <x:v>45440</x:v>
      </x:c>
      <x:c r="E94" s="7" t="str">
        <x:v>Yes</x:v>
      </x:c>
      <x:c r="F94" s="9" t="n">
        <x:v>5</x:v>
      </x:c>
      <x:c r="G94" s="7" t="str">
        <x:v>Monthly</x:v>
      </x:c>
      <x:c r="H94" s="7" t="str">
        <x:v>No</x:v>
      </x:c>
      <x:c r="I94" s="9" t="str">
        <x:v>-</x:v>
      </x:c>
      <x:c r="J94" s="7" t="str">
        <x:v>No</x:v>
      </x:c>
      <x:c r="K94" s="9" t="n">
        <x:v>0</x:v>
      </x:c>
      <x:c r="L94" s="9" t="n">
        <x:v>1</x:v>
      </x:c>
      <x:c r="M94" s="9" t="n">
        <x:v>4</x:v>
      </x:c>
    </x:row>
    <x:row r="95">
      <x:c r="A95" s="7" t="n">
        <x:v>3324</x:v>
      </x:c>
      <x:c r="B95" s="7" t="str">
        <x:v>Geraldo Ribeiro</x:v>
      </x:c>
      <x:c r="C95" s="7" t="str">
        <x:v>Ultimate</x:v>
      </x:c>
      <x:c r="D95" s="8" t="n">
        <x:v>45441</x:v>
      </x:c>
      <x:c r="E95" s="7" t="str">
        <x:v>No</x:v>
      </x:c>
      <x:c r="F95" s="9" t="n">
        <x:v>15</x:v>
      </x:c>
      <x:c r="G95" s="7" t="str">
        <x:v>Quarterly</x:v>
      </x:c>
      <x:c r="H95" s="7" t="str">
        <x:v>Yes</x:v>
      </x:c>
      <x:c r="I95" s="9" t="n">
        <x:v>30</x:v>
      </x:c>
      <x:c r="J95" s="7" t="str">
        <x:v>Yes</x:v>
      </x:c>
      <x:c r="K95" s="9" t="n">
        <x:v>20</x:v>
      </x:c>
      <x:c r="L95" s="9" t="n">
        <x:v>20</x:v>
      </x:c>
      <x:c r="M95" s="9" t="n">
        <x:v>45</x:v>
      </x:c>
    </x:row>
    <x:row r="96">
      <x:c r="A96" s="7" t="n">
        <x:v>3325</x:v>
      </x:c>
      <x:c r="B96" s="7" t="str">
        <x:v>Héctor Vargas</x:v>
      </x:c>
      <x:c r="C96" s="7" t="str">
        <x:v>Standard</x:v>
      </x:c>
      <x:c r="D96" s="8" t="n">
        <x:v>45442</x:v>
      </x:c>
      <x:c r="E96" s="7" t="str">
        <x:v>Yes</x:v>
      </x:c>
      <x:c r="F96" s="9" t="n">
        <x:v>10</x:v>
      </x:c>
      <x:c r="G96" s="7" t="str">
        <x:v>Quarterly</x:v>
      </x:c>
      <x:c r="H96" s="7" t="str">
        <x:v>No</x:v>
      </x:c>
      <x:c r="I96" s="9" t="str">
        <x:v>-</x:v>
      </x:c>
      <x:c r="J96" s="7" t="str">
        <x:v>Yes</x:v>
      </x:c>
      <x:c r="K96" s="9" t="n">
        <x:v>20</x:v>
      </x:c>
      <x:c r="L96" s="9" t="n">
        <x:v>15</x:v>
      </x:c>
      <x:c r="M96" s="9" t="n">
        <x:v>15</x:v>
      </x:c>
    </x:row>
    <x:row r="97">
      <x:c r="A97" s="7" t="n">
        <x:v>3326</x:v>
      </x:c>
      <x:c r="B97" s="7" t="str">
        <x:v>Isabela Fonseca</x:v>
      </x:c>
      <x:c r="C97" s="7" t="str">
        <x:v>Core</x:v>
      </x:c>
      <x:c r="D97" s="8" t="n">
        <x:v>45443</x:v>
      </x:c>
      <x:c r="E97" s="7" t="str">
        <x:v>No</x:v>
      </x:c>
      <x:c r="F97" s="9" t="n">
        <x:v>5</x:v>
      </x:c>
      <x:c r="G97" s="7" t="str">
        <x:v>Annual</x:v>
      </x:c>
      <x:c r="H97" s="7" t="str">
        <x:v>No</x:v>
      </x:c>
      <x:c r="I97" s="9" t="str">
        <x:v>-</x:v>
      </x:c>
      <x:c r="J97" s="7" t="str">
        <x:v>No</x:v>
      </x:c>
      <x:c r="K97" s="9" t="n">
        <x:v>0</x:v>
      </x:c>
      <x:c r="L97" s="9" t="n">
        <x:v>0</x:v>
      </x:c>
      <x:c r="M97" s="9" t="n">
        <x:v>5</x:v>
      </x:c>
    </x:row>
    <x:row r="98">
      <x:c r="A98" s="7" t="n">
        <x:v>3327</x:v>
      </x:c>
      <x:c r="B98" s="7" t="str">
        <x:v>João Pedro Almeida</x:v>
      </x:c>
      <x:c r="C98" s="7" t="str">
        <x:v>Ultimate</x:v>
      </x:c>
      <x:c r="D98" s="8" t="n">
        <x:v>45444</x:v>
      </x:c>
      <x:c r="E98" s="7" t="str">
        <x:v>Yes</x:v>
      </x:c>
      <x:c r="F98" s="9" t="n">
        <x:v>15</x:v>
      </x:c>
      <x:c r="G98" s="7" t="str">
        <x:v>Monthly</x:v>
      </x:c>
      <x:c r="H98" s="7" t="str">
        <x:v>Yes</x:v>
      </x:c>
      <x:c r="I98" s="9" t="n">
        <x:v>30</x:v>
      </x:c>
      <x:c r="J98" s="7" t="str">
        <x:v>Yes</x:v>
      </x:c>
      <x:c r="K98" s="9" t="n">
        <x:v>20</x:v>
      </x:c>
      <x:c r="L98" s="9" t="n">
        <x:v>7</x:v>
      </x:c>
      <x:c r="M98" s="9" t="n">
        <x:v>58</x:v>
      </x:c>
    </x:row>
    <x:row r="99">
      <x:c r="A99" s="7" t="n">
        <x:v>3328</x:v>
      </x:c>
      <x:c r="B99" s="7" t="str">
        <x:v>Klara Costa</x:v>
      </x:c>
      <x:c r="C99" s="7" t="str">
        <x:v>Standard</x:v>
      </x:c>
      <x:c r="D99" s="8" t="n">
        <x:v>45445</x:v>
      </x:c>
      <x:c r="E99" s="7" t="str">
        <x:v>No</x:v>
      </x:c>
      <x:c r="F99" s="9" t="n">
        <x:v>10</x:v>
      </x:c>
      <x:c r="G99" s="7" t="str">
        <x:v>Annual</x:v>
      </x:c>
      <x:c r="H99" s="7" t="str">
        <x:v>No</x:v>
      </x:c>
      <x:c r="I99" s="9" t="str">
        <x:v>-</x:v>
      </x:c>
      <x:c r="J99" s="7" t="str">
        <x:v>Yes</x:v>
      </x:c>
      <x:c r="K99" s="9" t="n">
        <x:v>20</x:v>
      </x:c>
      <x:c r="L99" s="9" t="n">
        <x:v>10</x:v>
      </x:c>
      <x:c r="M99" s="9" t="n">
        <x:v>20</x:v>
      </x:c>
    </x:row>
    <x:row r="100">
      <x:c r="A100" s="7" t="n">
        <x:v>3329</x:v>
      </x:c>
      <x:c r="B100" s="7" t="str">
        <x:v>Luciana Mendes</x:v>
      </x:c>
      <x:c r="C100" s="7" t="str">
        <x:v>Core</x:v>
      </x:c>
      <x:c r="D100" s="8" t="n">
        <x:v>45446</x:v>
      </x:c>
      <x:c r="E100" s="7" t="str">
        <x:v>Yes</x:v>
      </x:c>
      <x:c r="F100" s="9" t="n">
        <x:v>5</x:v>
      </x:c>
      <x:c r="G100" s="7" t="str">
        <x:v>Quarterly</x:v>
      </x:c>
      <x:c r="H100" s="7" t="str">
        <x:v>No</x:v>
      </x:c>
      <x:c r="I100" s="9" t="str">
        <x:v>-</x:v>
      </x:c>
      <x:c r="J100" s="7" t="str">
        <x:v>No</x:v>
      </x:c>
      <x:c r="K100" s="9" t="n">
        <x:v>0</x:v>
      </x:c>
      <x:c r="L100" s="9" t="n">
        <x:v>1</x:v>
      </x:c>
      <x:c r="M100" s="9" t="n">
        <x:v>4</x:v>
      </x:c>
    </x:row>
    <x:row r="101">
      <x:c r="A101" s="7" t="n">
        <x:v>3330</x:v>
      </x:c>
      <x:c r="B101" s="7" t="str">
        <x:v>Marcelo Gouveia</x:v>
      </x:c>
      <x:c r="C101" s="7" t="str">
        <x:v>Ultimate</x:v>
      </x:c>
      <x:c r="D101" s="8" t="n">
        <x:v>45447</x:v>
      </x:c>
      <x:c r="E101" s="7" t="str">
        <x:v>No</x:v>
      </x:c>
      <x:c r="F101" s="9" t="n">
        <x:v>15</x:v>
      </x:c>
      <x:c r="G101" s="7" t="str">
        <x:v>Monthly</x:v>
      </x:c>
      <x:c r="H101" s="7" t="str">
        <x:v>Yes</x:v>
      </x:c>
      <x:c r="I101" s="9" t="n">
        <x:v>30</x:v>
      </x:c>
      <x:c r="J101" s="7" t="str">
        <x:v>Yes</x:v>
      </x:c>
      <x:c r="K101" s="9" t="n">
        <x:v>20</x:v>
      </x:c>
      <x:c r="L101" s="9" t="n">
        <x:v>15</x:v>
      </x:c>
      <x:c r="M101" s="9" t="n">
        <x:v>50</x:v>
      </x:c>
    </x:row>
    <x:row r="102">
      <x:c r="A102" s="7" t="n">
        <x:v>3331</x:v>
      </x:c>
      <x:c r="B102" s="7" t="str">
        <x:v>Nívea Borges</x:v>
      </x:c>
      <x:c r="C102" s="7" t="str">
        <x:v>Standard</x:v>
      </x:c>
      <x:c r="D102" s="8" t="n">
        <x:v>45448</x:v>
      </x:c>
      <x:c r="E102" s="7" t="str">
        <x:v>Yes</x:v>
      </x:c>
      <x:c r="F102" s="9" t="n">
        <x:v>10</x:v>
      </x:c>
      <x:c r="G102" s="7" t="str">
        <x:v>Monthly</x:v>
      </x:c>
      <x:c r="H102" s="7" t="str">
        <x:v>No</x:v>
      </x:c>
      <x:c r="I102" s="9" t="str">
        <x:v>-</x:v>
      </x:c>
      <x:c r="J102" s="7" t="str">
        <x:v>Yes</x:v>
      </x:c>
      <x:c r="K102" s="9" t="n">
        <x:v>20</x:v>
      </x:c>
      <x:c r="L102" s="9" t="n">
        <x:v>5</x:v>
      </x:c>
      <x:c r="M102" s="9" t="n">
        <x:v>25</x:v>
      </x:c>
    </x:row>
    <x:row r="103">
      <x:c r="A103" s="7" t="n">
        <x:v>3332</x:v>
      </x:c>
      <x:c r="B103" s="7" t="str">
        <x:v>Oscar Nogueira</x:v>
      </x:c>
      <x:c r="C103" s="7" t="str">
        <x:v>Core</x:v>
      </x:c>
      <x:c r="D103" s="8" t="n">
        <x:v>45449</x:v>
      </x:c>
      <x:c r="E103" s="7" t="str">
        <x:v>No</x:v>
      </x:c>
      <x:c r="F103" s="9" t="n">
        <x:v>5</x:v>
      </x:c>
      <x:c r="G103" s="7" t="str">
        <x:v>Annual</x:v>
      </x:c>
      <x:c r="H103" s="7" t="str">
        <x:v>No</x:v>
      </x:c>
      <x:c r="I103" s="9" t="str">
        <x:v>-</x:v>
      </x:c>
      <x:c r="J103" s="7" t="str">
        <x:v>No</x:v>
      </x:c>
      <x:c r="K103" s="9" t="n">
        <x:v>0</x:v>
      </x:c>
      <x:c r="L103" s="9" t="n">
        <x:v>0</x:v>
      </x:c>
      <x:c r="M103" s="9" t="n">
        <x:v>5</x:v>
      </x:c>
    </x:row>
    <x:row r="104">
      <x:c r="A104" s="7" t="n">
        <x:v>3333</x:v>
      </x:c>
      <x:c r="B104" s="7" t="str">
        <x:v>Patrícia Alves</x:v>
      </x:c>
      <x:c r="C104" s="7" t="str">
        <x:v>Ultimate</x:v>
      </x:c>
      <x:c r="D104" s="8" t="n">
        <x:v>45450</x:v>
      </x:c>
      <x:c r="E104" s="7" t="str">
        <x:v>Yes</x:v>
      </x:c>
      <x:c r="F104" s="9" t="n">
        <x:v>15</x:v>
      </x:c>
      <x:c r="G104" s="7" t="str">
        <x:v>Quarterly</x:v>
      </x:c>
      <x:c r="H104" s="7" t="str">
        <x:v>Yes</x:v>
      </x:c>
      <x:c r="I104" s="9" t="n">
        <x:v>30</x:v>
      </x:c>
      <x:c r="J104" s="7" t="str">
        <x:v>Yes</x:v>
      </x:c>
      <x:c r="K104" s="9" t="n">
        <x:v>20</x:v>
      </x:c>
      <x:c r="L104" s="9" t="n">
        <x:v>20</x:v>
      </x:c>
      <x:c r="M104" s="9" t="n">
        <x:v>45</x:v>
      </x:c>
    </x:row>
    <x:row r="105">
      <x:c r="A105" s="7" t="n">
        <x:v>3334</x:v>
      </x:c>
      <x:c r="B105" s="7" t="str">
        <x:v>Rafaela Silva</x:v>
      </x:c>
      <x:c r="C105" s="7" t="str">
        <x:v>Standard</x:v>
      </x:c>
      <x:c r="D105" s="8" t="n">
        <x:v>45451</x:v>
      </x:c>
      <x:c r="E105" s="7" t="str">
        <x:v>No</x:v>
      </x:c>
      <x:c r="F105" s="9" t="n">
        <x:v>10</x:v>
      </x:c>
      <x:c r="G105" s="7" t="str">
        <x:v>Quarterly</x:v>
      </x:c>
      <x:c r="H105" s="7" t="str">
        <x:v>No</x:v>
      </x:c>
      <x:c r="I105" s="9" t="str">
        <x:v>-</x:v>
      </x:c>
      <x:c r="J105" s="7" t="str">
        <x:v>Yes</x:v>
      </x:c>
      <x:c r="K105" s="9" t="n">
        <x:v>20</x:v>
      </x:c>
      <x:c r="L105" s="9" t="n">
        <x:v>12</x:v>
      </x:c>
      <x:c r="M105" s="9" t="n">
        <x:v>18</x:v>
      </x:c>
    </x:row>
    <x:row r="106">
      <x:c r="A106" s="7" t="n">
        <x:v>3335</x:v>
      </x:c>
      <x:c r="B106" s="7" t="str">
        <x:v>Samantha Moraes</x:v>
      </x:c>
      <x:c r="C106" s="7" t="str">
        <x:v>Core</x:v>
      </x:c>
      <x:c r="D106" s="8" t="n">
        <x:v>45452</x:v>
      </x:c>
      <x:c r="E106" s="7" t="str">
        <x:v>Yes</x:v>
      </x:c>
      <x:c r="F106" s="9" t="n">
        <x:v>5</x:v>
      </x:c>
      <x:c r="G106" s="7" t="str">
        <x:v>Monthly</x:v>
      </x:c>
      <x:c r="H106" s="7" t="str">
        <x:v>No</x:v>
      </x:c>
      <x:c r="I106" s="9" t="str">
        <x:v>-</x:v>
      </x:c>
      <x:c r="J106" s="7" t="str">
        <x:v>No</x:v>
      </x:c>
      <x:c r="K106" s="9" t="n">
        <x:v>0</x:v>
      </x:c>
      <x:c r="L106" s="9" t="n">
        <x:v>2</x:v>
      </x:c>
      <x:c r="M106" s="9" t="n">
        <x:v>3</x:v>
      </x:c>
    </x:row>
    <x:row r="107">
      <x:c r="A107" s="7" t="n">
        <x:v>3336</x:v>
      </x:c>
      <x:c r="B107" s="7" t="str">
        <x:v>Tatiana Rocha</x:v>
      </x:c>
      <x:c r="C107" s="7" t="str">
        <x:v>Core</x:v>
      </x:c>
      <x:c r="D107" s="8" t="n">
        <x:v>45453</x:v>
      </x:c>
      <x:c r="E107" s="7" t="str">
        <x:v>Yes</x:v>
      </x:c>
      <x:c r="F107" s="9" t="n">
        <x:v>5</x:v>
      </x:c>
      <x:c r="G107" s="7" t="str">
        <x:v>Monthly</x:v>
      </x:c>
      <x:c r="H107" s="7" t="str">
        <x:v>No</x:v>
      </x:c>
      <x:c r="I107" s="9" t="str">
        <x:v>-</x:v>
      </x:c>
      <x:c r="J107" s="7" t="str">
        <x:v>No</x:v>
      </x:c>
      <x:c r="K107" s="9" t="n">
        <x:v>0</x:v>
      </x:c>
      <x:c r="L107" s="9" t="n">
        <x:v>0</x:v>
      </x:c>
      <x:c r="M107" s="9" t="n">
        <x:v>5</x:v>
      </x:c>
    </x:row>
    <x:row r="108">
      <x:c r="A108" s="7" t="n">
        <x:v>3337</x:v>
      </x:c>
      <x:c r="B108" s="7" t="str">
        <x:v>Ulisses Tavares</x:v>
      </x:c>
      <x:c r="C108" s="7" t="str">
        <x:v>Ultimate</x:v>
      </x:c>
      <x:c r="D108" s="8" t="n">
        <x:v>45454</x:v>
      </x:c>
      <x:c r="E108" s="7" t="str">
        <x:v>No</x:v>
      </x:c>
      <x:c r="F108" s="9" t="n">
        <x:v>15</x:v>
      </x:c>
      <x:c r="G108" s="7" t="str">
        <x:v>Quarterly</x:v>
      </x:c>
      <x:c r="H108" s="7" t="str">
        <x:v>Yes</x:v>
      </x:c>
      <x:c r="I108" s="9" t="n">
        <x:v>30</x:v>
      </x:c>
      <x:c r="J108" s="7" t="str">
        <x:v>Yes</x:v>
      </x:c>
      <x:c r="K108" s="9" t="n">
        <x:v>20</x:v>
      </x:c>
      <x:c r="L108" s="9" t="n">
        <x:v>7</x:v>
      </x:c>
      <x:c r="M108" s="9" t="n">
        <x:v>58</x:v>
      </x:c>
    </x:row>
    <x:row r="109">
      <x:c r="A109" s="7" t="n">
        <x:v>3338</x:v>
      </x:c>
      <x:c r="B109" s="7" t="str">
        <x:v>Víctor Lemos</x:v>
      </x:c>
      <x:c r="C109" s="7" t="str">
        <x:v>Standard</x:v>
      </x:c>
      <x:c r="D109" s="8" t="n">
        <x:v>45455</x:v>
      </x:c>
      <x:c r="E109" s="7" t="str">
        <x:v>Yes</x:v>
      </x:c>
      <x:c r="F109" s="9" t="n">
        <x:v>10</x:v>
      </x:c>
      <x:c r="G109" s="7" t="str">
        <x:v>Annual</x:v>
      </x:c>
      <x:c r="H109" s="7" t="str">
        <x:v>No</x:v>
      </x:c>
      <x:c r="I109" s="9" t="str">
        <x:v>-</x:v>
      </x:c>
      <x:c r="J109" s="7" t="str">
        <x:v>Yes</x:v>
      </x:c>
      <x:c r="K109" s="9" t="n">
        <x:v>20</x:v>
      </x:c>
      <x:c r="L109" s="9" t="n">
        <x:v>10</x:v>
      </x:c>
      <x:c r="M109" s="9" t="n">
        <x:v>20</x:v>
      </x:c>
    </x:row>
    <x:row r="110">
      <x:c r="A110" s="7" t="n">
        <x:v>3339</x:v>
      </x:c>
      <x:c r="B110" s="7" t="str">
        <x:v>Wilma Barros</x:v>
      </x:c>
      <x:c r="C110" s="7" t="str">
        <x:v>Core</x:v>
      </x:c>
      <x:c r="D110" s="8" t="n">
        <x:v>45456</x:v>
      </x:c>
      <x:c r="E110" s="7" t="str">
        <x:v>No</x:v>
      </x:c>
      <x:c r="F110" s="9" t="n">
        <x:v>5</x:v>
      </x:c>
      <x:c r="G110" s="7" t="str">
        <x:v>Quarterly</x:v>
      </x:c>
      <x:c r="H110" s="7" t="str">
        <x:v>No</x:v>
      </x:c>
      <x:c r="I110" s="9" t="str">
        <x:v>-</x:v>
      </x:c>
      <x:c r="J110" s="7" t="str">
        <x:v>No</x:v>
      </x:c>
      <x:c r="K110" s="9" t="n">
        <x:v>0</x:v>
      </x:c>
      <x:c r="L110" s="9" t="n">
        <x:v>1</x:v>
      </x:c>
      <x:c r="M110" s="9" t="n">
        <x:v>4</x:v>
      </x:c>
    </x:row>
    <x:row r="111">
      <x:c r="A111" s="7" t="n">
        <x:v>3340</x:v>
      </x:c>
      <x:c r="B111" s="7" t="str">
        <x:v>Xavier Nascimento</x:v>
      </x:c>
      <x:c r="C111" s="7" t="str">
        <x:v>Ultimate</x:v>
      </x:c>
      <x:c r="D111" s="8" t="n">
        <x:v>45457</x:v>
      </x:c>
      <x:c r="E111" s="7" t="str">
        <x:v>Yes</x:v>
      </x:c>
      <x:c r="F111" s="9" t="n">
        <x:v>15</x:v>
      </x:c>
      <x:c r="G111" s="7" t="str">
        <x:v>Monthly</x:v>
      </x:c>
      <x:c r="H111" s="7" t="str">
        <x:v>Yes</x:v>
      </x:c>
      <x:c r="I111" s="9" t="n">
        <x:v>30</x:v>
      </x:c>
      <x:c r="J111" s="7" t="str">
        <x:v>Yes</x:v>
      </x:c>
      <x:c r="K111" s="9" t="n">
        <x:v>20</x:v>
      </x:c>
      <x:c r="L111" s="9" t="n">
        <x:v>15</x:v>
      </x:c>
      <x:c r="M111" s="9" t="n">
        <x:v>50</x:v>
      </x:c>
    </x:row>
    <x:row r="112">
      <x:c r="A112" s="7" t="n">
        <x:v>3341</x:v>
      </x:c>
      <x:c r="B112" s="7" t="str">
        <x:v>Yago Pereira</x:v>
      </x:c>
      <x:c r="C112" s="7" t="str">
        <x:v>Standard</x:v>
      </x:c>
      <x:c r="D112" s="8" t="n">
        <x:v>45458</x:v>
      </x:c>
      <x:c r="E112" s="7" t="str">
        <x:v>No</x:v>
      </x:c>
      <x:c r="F112" s="9" t="n">
        <x:v>10</x:v>
      </x:c>
      <x:c r="G112" s="7" t="str">
        <x:v>Monthly</x:v>
      </x:c>
      <x:c r="H112" s="7" t="str">
        <x:v>No</x:v>
      </x:c>
      <x:c r="I112" s="9" t="str">
        <x:v>-</x:v>
      </x:c>
      <x:c r="J112" s="7" t="str">
        <x:v>Yes</x:v>
      </x:c>
      <x:c r="K112" s="9" t="n">
        <x:v>20</x:v>
      </x:c>
      <x:c r="L112" s="9" t="n">
        <x:v>5</x:v>
      </x:c>
      <x:c r="M112" s="9" t="n">
        <x:v>25</x:v>
      </x:c>
    </x:row>
    <x:row r="113">
      <x:c r="A113" s="7" t="n">
        <x:v>3342</x:v>
      </x:c>
      <x:c r="B113" s="7" t="str">
        <x:v>Zilda Ferreira</x:v>
      </x:c>
      <x:c r="C113" s="7" t="str">
        <x:v>Core</x:v>
      </x:c>
      <x:c r="D113" s="8" t="n">
        <x:v>45459</x:v>
      </x:c>
      <x:c r="E113" s="7" t="str">
        <x:v>Yes</x:v>
      </x:c>
      <x:c r="F113" s="9" t="n">
        <x:v>5</x:v>
      </x:c>
      <x:c r="G113" s="7" t="str">
        <x:v>Annual</x:v>
      </x:c>
      <x:c r="H113" s="7" t="str">
        <x:v>No</x:v>
      </x:c>
      <x:c r="I113" s="9" t="str">
        <x:v>-</x:v>
      </x:c>
      <x:c r="J113" s="7" t="str">
        <x:v>No</x:v>
      </x:c>
      <x:c r="K113" s="9" t="n">
        <x:v>0</x:v>
      </x:c>
      <x:c r="L113" s="9" t="n">
        <x:v>0</x:v>
      </x:c>
      <x:c r="M113" s="9" t="n">
        <x:v>5</x:v>
      </x:c>
    </x:row>
    <x:row r="114">
      <x:c r="A114" s="7" t="n">
        <x:v>3343</x:v>
      </x:c>
      <x:c r="B114" s="7" t="str">
        <x:v>Amanda Lopes</x:v>
      </x:c>
      <x:c r="C114" s="7" t="str">
        <x:v>Ultimate</x:v>
      </x:c>
      <x:c r="D114" s="8" t="n">
        <x:v>45460</x:v>
      </x:c>
      <x:c r="E114" s="7" t="str">
        <x:v>No</x:v>
      </x:c>
      <x:c r="F114" s="9" t="n">
        <x:v>15</x:v>
      </x:c>
      <x:c r="G114" s="7" t="str">
        <x:v>Quarterly</x:v>
      </x:c>
      <x:c r="H114" s="7" t="str">
        <x:v>Yes</x:v>
      </x:c>
      <x:c r="I114" s="9" t="n">
        <x:v>30</x:v>
      </x:c>
      <x:c r="J114" s="7" t="str">
        <x:v>Yes</x:v>
      </x:c>
      <x:c r="K114" s="9" t="n">
        <x:v>20</x:v>
      </x:c>
      <x:c r="L114" s="9" t="n">
        <x:v>20</x:v>
      </x:c>
      <x:c r="M114" s="9" t="n">
        <x:v>45</x:v>
      </x:c>
    </x:row>
    <x:row r="115">
      <x:c r="A115" s="7" t="n">
        <x:v>3344</x:v>
      </x:c>
      <x:c r="B115" s="7" t="str">
        <x:v>Bruno Miranda</x:v>
      </x:c>
      <x:c r="C115" s="7" t="str">
        <x:v>Standard</x:v>
      </x:c>
      <x:c r="D115" s="8" t="n">
        <x:v>45461</x:v>
      </x:c>
      <x:c r="E115" s="7" t="str">
        <x:v>Yes</x:v>
      </x:c>
      <x:c r="F115" s="9" t="n">
        <x:v>10</x:v>
      </x:c>
      <x:c r="G115" s="7" t="str">
        <x:v>Quarterly</x:v>
      </x:c>
      <x:c r="H115" s="7" t="str">
        <x:v>No</x:v>
      </x:c>
      <x:c r="I115" s="9" t="str">
        <x:v>-</x:v>
      </x:c>
      <x:c r="J115" s="7" t="str">
        <x:v>Yes</x:v>
      </x:c>
      <x:c r="K115" s="9" t="n">
        <x:v>20</x:v>
      </x:c>
      <x:c r="L115" s="9" t="n">
        <x:v>12</x:v>
      </x:c>
      <x:c r="M115" s="9" t="n">
        <x:v>18</x:v>
      </x:c>
    </x:row>
    <x:row r="116">
      <x:c r="A116" s="7" t="n">
        <x:v>3345</x:v>
      </x:c>
      <x:c r="B116" s="7" t="str">
        <x:v>Célia Torres</x:v>
      </x:c>
      <x:c r="C116" s="7" t="str">
        <x:v>Core</x:v>
      </x:c>
      <x:c r="D116" s="8" t="n">
        <x:v>45462</x:v>
      </x:c>
      <x:c r="E116" s="7" t="str">
        <x:v>No</x:v>
      </x:c>
      <x:c r="F116" s="9" t="n">
        <x:v>5</x:v>
      </x:c>
      <x:c r="G116" s="7" t="str">
        <x:v>Monthly</x:v>
      </x:c>
      <x:c r="H116" s="7" t="str">
        <x:v>No</x:v>
      </x:c>
      <x:c r="I116" s="9" t="str">
        <x:v>-</x:v>
      </x:c>
      <x:c r="J116" s="7" t="str">
        <x:v>No</x:v>
      </x:c>
      <x:c r="K116" s="9" t="n">
        <x:v>0</x:v>
      </x:c>
      <x:c r="L116" s="9" t="n">
        <x:v>2</x:v>
      </x:c>
      <x:c r="M116" s="9" t="n">
        <x:v>3</x:v>
      </x:c>
    </x:row>
    <x:row r="117">
      <x:c r="A117" s="7" t="n">
        <x:v>3346</x:v>
      </x:c>
      <x:c r="B117" s="7" t="str">
        <x:v>Diogo Souza</x:v>
      </x:c>
      <x:c r="C117" s="7" t="str">
        <x:v>Ultimate</x:v>
      </x:c>
      <x:c r="D117" s="8" t="n">
        <x:v>45463</x:v>
      </x:c>
      <x:c r="E117" s="7" t="str">
        <x:v>Yes</x:v>
      </x:c>
      <x:c r="F117" s="9" t="n">
        <x:v>15</x:v>
      </x:c>
      <x:c r="G117" s="7" t="str">
        <x:v>Annual</x:v>
      </x:c>
      <x:c r="H117" s="7" t="str">
        <x:v>Yes</x:v>
      </x:c>
      <x:c r="I117" s="9" t="n">
        <x:v>30</x:v>
      </x:c>
      <x:c r="J117" s="7" t="str">
        <x:v>Yes</x:v>
      </x:c>
      <x:c r="K117" s="9" t="n">
        <x:v>20</x:v>
      </x:c>
      <x:c r="L117" s="9" t="n">
        <x:v>5</x:v>
      </x:c>
      <x:c r="M117" s="9" t="n">
        <x:v>60</x:v>
      </x:c>
    </x:row>
    <x:row r="118">
      <x:c r="A118" s="7" t="n">
        <x:v>3347</x:v>
      </x:c>
      <x:c r="B118" s="7" t="str">
        <x:v>Elisa Castro</x:v>
      </x:c>
      <x:c r="C118" s="7" t="str">
        <x:v>Standard</x:v>
      </x:c>
      <x:c r="D118" s="8" t="n">
        <x:v>45464</x:v>
      </x:c>
      <x:c r="E118" s="7" t="str">
        <x:v>No</x:v>
      </x:c>
      <x:c r="F118" s="9" t="n">
        <x:v>10</x:v>
      </x:c>
      <x:c r="G118" s="7" t="str">
        <x:v>Monthly</x:v>
      </x:c>
      <x:c r="H118" s="7" t="str">
        <x:v>No</x:v>
      </x:c>
      <x:c r="I118" s="9" t="str">
        <x:v>-</x:v>
      </x:c>
      <x:c r="J118" s="7" t="str">
        <x:v>Yes</x:v>
      </x:c>
      <x:c r="K118" s="9" t="n">
        <x:v>20</x:v>
      </x:c>
      <x:c r="L118" s="9" t="n">
        <x:v>10</x:v>
      </x:c>
      <x:c r="M118" s="9" t="n">
        <x:v>20</x:v>
      </x:c>
    </x:row>
    <x:row r="119">
      <x:c r="A119" s="7" t="n">
        <x:v>3348</x:v>
      </x:c>
      <x:c r="B119" s="7" t="str">
        <x:v>Fátima Lima</x:v>
      </x:c>
      <x:c r="C119" s="7" t="str">
        <x:v>Core</x:v>
      </x:c>
      <x:c r="D119" s="8" t="n">
        <x:v>45465</x:v>
      </x:c>
      <x:c r="E119" s="7" t="str">
        <x:v>Yes</x:v>
      </x:c>
      <x:c r="F119" s="9" t="n">
        <x:v>5</x:v>
      </x:c>
      <x:c r="G119" s="7" t="str">
        <x:v>Quarterly</x:v>
      </x:c>
      <x:c r="H119" s="7" t="str">
        <x:v>No</x:v>
      </x:c>
      <x:c r="I119" s="9" t="str">
        <x:v>-</x:v>
      </x:c>
      <x:c r="J119" s="7" t="str">
        <x:v>No</x:v>
      </x:c>
      <x:c r="K119" s="9" t="n">
        <x:v>0</x:v>
      </x:c>
      <x:c r="L119" s="9" t="n">
        <x:v>0</x:v>
      </x:c>
      <x:c r="M119" s="9" t="n">
        <x:v>5</x:v>
      </x:c>
    </x:row>
    <x:row r="120">
      <x:c r="A120" s="7" t="n">
        <x:v>3349</x:v>
      </x:c>
      <x:c r="B120" s="7" t="str">
        <x:v>Geraldo Ribeiro</x:v>
      </x:c>
      <x:c r="C120" s="7" t="str">
        <x:v>Ultimate</x:v>
      </x:c>
      <x:c r="D120" s="8" t="n">
        <x:v>45466</x:v>
      </x:c>
      <x:c r="E120" s="7" t="str">
        <x:v>No</x:v>
      </x:c>
      <x:c r="F120" s="9" t="n">
        <x:v>15</x:v>
      </x:c>
      <x:c r="G120" s="7" t="str">
        <x:v>Monthly</x:v>
      </x:c>
      <x:c r="H120" s="7" t="str">
        <x:v>Yes</x:v>
      </x:c>
      <x:c r="I120" s="9" t="n">
        <x:v>30</x:v>
      </x:c>
      <x:c r="J120" s="7" t="str">
        <x:v>Yes</x:v>
      </x:c>
      <x:c r="K120" s="9" t="n">
        <x:v>20</x:v>
      </x:c>
      <x:c r="L120" s="9" t="n">
        <x:v>3</x:v>
      </x:c>
      <x:c r="M120" s="9" t="n">
        <x:v>62</x:v>
      </x:c>
    </x:row>
    <x:row r="121">
      <x:c r="A121" s="7" t="n">
        <x:v>3350</x:v>
      </x:c>
      <x:c r="B121" s="7" t="str">
        <x:v>Hélio Martins</x:v>
      </x:c>
      <x:c r="C121" s="7" t="str">
        <x:v>Standard</x:v>
      </x:c>
      <x:c r="D121" s="8" t="n">
        <x:v>45467</x:v>
      </x:c>
      <x:c r="E121" s="7" t="str">
        <x:v>Yes</x:v>
      </x:c>
      <x:c r="F121" s="9" t="n">
        <x:v>10</x:v>
      </x:c>
      <x:c r="G121" s="7" t="str">
        <x:v>Annual</x:v>
      </x:c>
      <x:c r="H121" s="7" t="str">
        <x:v>No</x:v>
      </x:c>
      <x:c r="I121" s="9" t="str">
        <x:v>-</x:v>
      </x:c>
      <x:c r="J121" s="7" t="str">
        <x:v>Yes</x:v>
      </x:c>
      <x:c r="K121" s="9" t="n">
        <x:v>20</x:v>
      </x:c>
      <x:c r="L121" s="9" t="n">
        <x:v>15</x:v>
      </x:c>
      <x:c r="M121" s="9" t="n">
        <x:v>15</x:v>
      </x:c>
    </x:row>
    <x:row r="122">
      <x:c r="A122" s="7" t="n">
        <x:v>3351</x:v>
      </x:c>
      <x:c r="B122" s="7" t="str">
        <x:v>Íris Santos</x:v>
      </x:c>
      <x:c r="C122" s="7" t="str">
        <x:v>Core</x:v>
      </x:c>
      <x:c r="D122" s="8" t="n">
        <x:v>45468</x:v>
      </x:c>
      <x:c r="E122" s="7" t="str">
        <x:v>No</x:v>
      </x:c>
      <x:c r="F122" s="9" t="n">
        <x:v>5</x:v>
      </x:c>
      <x:c r="G122" s="7" t="str">
        <x:v>Monthly</x:v>
      </x:c>
      <x:c r="H122" s="7" t="str">
        <x:v>No</x:v>
      </x:c>
      <x:c r="I122" s="9" t="str">
        <x:v>-</x:v>
      </x:c>
      <x:c r="J122" s="7" t="str">
        <x:v>No</x:v>
      </x:c>
      <x:c r="K122" s="9" t="n">
        <x:v>0</x:v>
      </x:c>
      <x:c r="L122" s="9" t="n">
        <x:v>1</x:v>
      </x:c>
      <x:c r="M122" s="9" t="n">
        <x:v>4</x:v>
      </x:c>
    </x:row>
    <x:row r="123">
      <x:c r="A123" s="7" t="n">
        <x:v>3352</x:v>
      </x:c>
      <x:c r="B123" s="7" t="str">
        <x:v>João Marcelo</x:v>
      </x:c>
      <x:c r="C123" s="7" t="str">
        <x:v>Ultimate</x:v>
      </x:c>
      <x:c r="D123" s="8" t="n">
        <x:v>45469</x:v>
      </x:c>
      <x:c r="E123" s="7" t="str">
        <x:v>Yes</x:v>
      </x:c>
      <x:c r="F123" s="9" t="n">
        <x:v>15</x:v>
      </x:c>
      <x:c r="G123" s="7" t="str">
        <x:v>Quarterly</x:v>
      </x:c>
      <x:c r="H123" s="7" t="str">
        <x:v>Yes</x:v>
      </x:c>
      <x:c r="I123" s="9" t="n">
        <x:v>30</x:v>
      </x:c>
      <x:c r="J123" s="7" t="str">
        <x:v>Yes</x:v>
      </x:c>
      <x:c r="K123" s="9" t="n">
        <x:v>20</x:v>
      </x:c>
      <x:c r="L123" s="9" t="n">
        <x:v>7</x:v>
      </x:c>
      <x:c r="M123" s="9" t="n">
        <x:v>58</x:v>
      </x:c>
    </x:row>
    <x:row r="124">
      <x:c r="A124" s="7" t="n">
        <x:v>3353</x:v>
      </x:c>
      <x:c r="B124" s="7" t="str">
        <x:v>Larissa Gomes</x:v>
      </x:c>
      <x:c r="C124" s="7" t="str">
        <x:v>Standard</x:v>
      </x:c>
      <x:c r="D124" s="8" t="n">
        <x:v>45470</x:v>
      </x:c>
      <x:c r="E124" s="7" t="str">
        <x:v>No</x:v>
      </x:c>
      <x:c r="F124" s="9" t="n">
        <x:v>10</x:v>
      </x:c>
      <x:c r="G124" s="7" t="str">
        <x:v>Monthly</x:v>
      </x:c>
      <x:c r="H124" s="7" t="str">
        <x:v>No</x:v>
      </x:c>
      <x:c r="I124" s="9" t="str">
        <x:v>-</x:v>
      </x:c>
      <x:c r="J124" s="7" t="str">
        <x:v>Yes</x:v>
      </x:c>
      <x:c r="K124" s="9" t="n">
        <x:v>20</x:v>
      </x:c>
      <x:c r="L124" s="9" t="n">
        <x:v>10</x:v>
      </x:c>
      <x:c r="M124" s="9" t="n">
        <x:v>20</x:v>
      </x:c>
    </x:row>
    <x:row r="125">
      <x:c r="A125" s="7" t="n">
        <x:v>3354</x:v>
      </x:c>
      <x:c r="B125" s="7" t="str">
        <x:v>Márcio Silva</x:v>
      </x:c>
      <x:c r="C125" s="7" t="str">
        <x:v>Core</x:v>
      </x:c>
      <x:c r="D125" s="8" t="n">
        <x:v>45471</x:v>
      </x:c>
      <x:c r="E125" s="7" t="str">
        <x:v>Yes</x:v>
      </x:c>
      <x:c r="F125" s="9" t="n">
        <x:v>5</x:v>
      </x:c>
      <x:c r="G125" s="7" t="str">
        <x:v>Annual</x:v>
      </x:c>
      <x:c r="H125" s="7" t="str">
        <x:v>No</x:v>
      </x:c>
      <x:c r="I125" s="9" t="str">
        <x:v>-</x:v>
      </x:c>
      <x:c r="J125" s="7" t="str">
        <x:v>No</x:v>
      </x:c>
      <x:c r="K125" s="9" t="n">
        <x:v>0</x:v>
      </x:c>
      <x:c r="L125" s="9" t="n">
        <x:v>0</x:v>
      </x:c>
      <x:c r="M125" s="9" t="n">
        <x:v>5</x:v>
      </x:c>
    </x:row>
    <x:row r="126">
      <x:c r="A126" s="7" t="n">
        <x:v>3355</x:v>
      </x:c>
      <x:c r="B126" s="7" t="str">
        <x:v>Nadia Costa</x:v>
      </x:c>
      <x:c r="C126" s="7" t="str">
        <x:v>Ultimate</x:v>
      </x:c>
      <x:c r="D126" s="8" t="n">
        <x:v>45472</x:v>
      </x:c>
      <x:c r="E126" s="7" t="str">
        <x:v>No</x:v>
      </x:c>
      <x:c r="F126" s="9" t="n">
        <x:v>15</x:v>
      </x:c>
      <x:c r="G126" s="7" t="str">
        <x:v>Monthly</x:v>
      </x:c>
      <x:c r="H126" s="7" t="str">
        <x:v>Yes</x:v>
      </x:c>
      <x:c r="I126" s="9" t="n">
        <x:v>30</x:v>
      </x:c>
      <x:c r="J126" s="7" t="str">
        <x:v>Yes</x:v>
      </x:c>
      <x:c r="K126" s="9" t="n">
        <x:v>20</x:v>
      </x:c>
      <x:c r="L126" s="9" t="n">
        <x:v>20</x:v>
      </x:c>
      <x:c r="M126" s="9" t="n">
        <x:v>45</x:v>
      </x:c>
    </x:row>
    <x:row r="127">
      <x:c r="A127" s="7" t="n">
        <x:v>3356</x:v>
      </x:c>
      <x:c r="B127" s="7" t="str">
        <x:v>Oscar Almeida</x:v>
      </x:c>
      <x:c r="C127" s="7" t="str">
        <x:v>Standard</x:v>
      </x:c>
      <x:c r="D127" s="8" t="n">
        <x:v>45473</x:v>
      </x:c>
      <x:c r="E127" s="7" t="str">
        <x:v>Yes</x:v>
      </x:c>
      <x:c r="F127" s="9" t="n">
        <x:v>10</x:v>
      </x:c>
      <x:c r="G127" s="7" t="str">
        <x:v>Quarterly</x:v>
      </x:c>
      <x:c r="H127" s="7" t="str">
        <x:v>No</x:v>
      </x:c>
      <x:c r="I127" s="9" t="str">
        <x:v>-</x:v>
      </x:c>
      <x:c r="J127" s="7" t="str">
        <x:v>Yes</x:v>
      </x:c>
      <x:c r="K127" s="9" t="n">
        <x:v>20</x:v>
      </x:c>
      <x:c r="L127" s="9" t="n">
        <x:v>15</x:v>
      </x:c>
      <x:c r="M127" s="9" t="n">
        <x:v>15</x:v>
      </x:c>
    </x:row>
    <x:row r="128">
      <x:c r="A128" s="7" t="n">
        <x:v>3357</x:v>
      </x:c>
      <x:c r="B128" s="7" t="str">
        <x:v>Patricia Soares</x:v>
      </x:c>
      <x:c r="C128" s="7" t="str">
        <x:v>Core</x:v>
      </x:c>
      <x:c r="D128" s="8" t="n">
        <x:v>45474</x:v>
      </x:c>
      <x:c r="E128" s="7" t="str">
        <x:v>No</x:v>
      </x:c>
      <x:c r="F128" s="9" t="n">
        <x:v>5</x:v>
      </x:c>
      <x:c r="G128" s="7" t="str">
        <x:v>Monthly</x:v>
      </x:c>
      <x:c r="H128" s="7" t="str">
        <x:v>No</x:v>
      </x:c>
      <x:c r="I128" s="9" t="str">
        <x:v>-</x:v>
      </x:c>
      <x:c r="J128" s="7" t="str">
        <x:v>No</x:v>
      </x:c>
      <x:c r="K128" s="9" t="n">
        <x:v>0</x:v>
      </x:c>
      <x:c r="L128" s="9" t="n">
        <x:v>1</x:v>
      </x:c>
      <x:c r="M128" s="9" t="n">
        <x:v>4</x:v>
      </x:c>
    </x:row>
    <x:row r="129">
      <x:c r="A129" s="7" t="n">
        <x:v>3358</x:v>
      </x:c>
      <x:c r="B129" s="7" t="str">
        <x:v>Quênia Barros</x:v>
      </x:c>
      <x:c r="C129" s="7" t="str">
        <x:v>Ultimate</x:v>
      </x:c>
      <x:c r="D129" s="8" t="n">
        <x:v>45475</x:v>
      </x:c>
      <x:c r="E129" s="7" t="str">
        <x:v>Yes</x:v>
      </x:c>
      <x:c r="F129" s="9" t="n">
        <x:v>15</x:v>
      </x:c>
      <x:c r="G129" s="7" t="str">
        <x:v>Annual</x:v>
      </x:c>
      <x:c r="H129" s="7" t="str">
        <x:v>Yes</x:v>
      </x:c>
      <x:c r="I129" s="9" t="n">
        <x:v>30</x:v>
      </x:c>
      <x:c r="J129" s="7" t="str">
        <x:v>Yes</x:v>
      </x:c>
      <x:c r="K129" s="9" t="n">
        <x:v>20</x:v>
      </x:c>
      <x:c r="L129" s="9" t="n">
        <x:v>3</x:v>
      </x:c>
      <x:c r="M129" s="9" t="n">
        <x:v>62</x:v>
      </x:c>
    </x:row>
    <x:row r="130">
      <x:c r="A130" s="7" t="n">
        <x:v>3359</x:v>
      </x:c>
      <x:c r="B130" s="7" t="str">
        <x:v>Rafael Torres</x:v>
      </x:c>
      <x:c r="C130" s="7" t="str">
        <x:v>Standard</x:v>
      </x:c>
      <x:c r="D130" s="8" t="n">
        <x:v>45476</x:v>
      </x:c>
      <x:c r="E130" s="7" t="str">
        <x:v>No</x:v>
      </x:c>
      <x:c r="F130" s="9" t="n">
        <x:v>10</x:v>
      </x:c>
      <x:c r="G130" s="7" t="str">
        <x:v>Monthly</x:v>
      </x:c>
      <x:c r="H130" s="7" t="str">
        <x:v>No</x:v>
      </x:c>
      <x:c r="I130" s="9" t="str">
        <x:v>-</x:v>
      </x:c>
      <x:c r="J130" s="7" t="str">
        <x:v>Yes</x:v>
      </x:c>
      <x:c r="K130" s="9" t="n">
        <x:v>20</x:v>
      </x:c>
      <x:c r="L130" s="9" t="n">
        <x:v>10</x:v>
      </x:c>
      <x:c r="M130" s="9" t="n">
        <x:v>20</x:v>
      </x:c>
    </x:row>
    <x:row r="131">
      <x:c r="A131" s="7" t="n">
        <x:v>3360</x:v>
      </x:c>
      <x:c r="B131" s="7" t="str">
        <x:v>Silvia Nascimento</x:v>
      </x:c>
      <x:c r="C131" s="7" t="str">
        <x:v>Core</x:v>
      </x:c>
      <x:c r="D131" s="8" t="n">
        <x:v>45477</x:v>
      </x:c>
      <x:c r="E131" s="7" t="str">
        <x:v>Yes</x:v>
      </x:c>
      <x:c r="F131" s="9" t="n">
        <x:v>5</x:v>
      </x:c>
      <x:c r="G131" s="7" t="str">
        <x:v>Quarterly</x:v>
      </x:c>
      <x:c r="H131" s="7" t="str">
        <x:v>No</x:v>
      </x:c>
      <x:c r="I131" s="9" t="str">
        <x:v>-</x:v>
      </x:c>
      <x:c r="J131" s="7" t="str">
        <x:v>No</x:v>
      </x:c>
      <x:c r="K131" s="9" t="n">
        <x:v>0</x:v>
      </x:c>
      <x:c r="L131" s="9" t="n">
        <x:v>0</x:v>
      </x:c>
      <x:c r="M131" s="9" t="n">
        <x:v>5</x:v>
      </x:c>
    </x:row>
    <x:row r="132">
      <x:c r="A132" s="7" t="n">
        <x:v>3361</x:v>
      </x:c>
      <x:c r="B132" s="7" t="str">
        <x:v>Tiago Mendes</x:v>
      </x:c>
      <x:c r="C132" s="7" t="str">
        <x:v>Ultimate</x:v>
      </x:c>
      <x:c r="D132" s="8" t="n">
        <x:v>45478</x:v>
      </x:c>
      <x:c r="E132" s="7" t="str">
        <x:v>No</x:v>
      </x:c>
      <x:c r="F132" s="9" t="n">
        <x:v>15</x:v>
      </x:c>
      <x:c r="G132" s="7" t="str">
        <x:v>Monthly</x:v>
      </x:c>
      <x:c r="H132" s="7" t="str">
        <x:v>Yes</x:v>
      </x:c>
      <x:c r="I132" s="9" t="n">
        <x:v>30</x:v>
      </x:c>
      <x:c r="J132" s="7" t="str">
        <x:v>Yes</x:v>
      </x:c>
      <x:c r="K132" s="9" t="n">
        <x:v>20</x:v>
      </x:c>
      <x:c r="L132" s="9" t="n">
        <x:v>15</x:v>
      </x:c>
      <x:c r="M132" s="9" t="n">
        <x:v>50</x:v>
      </x:c>
    </x:row>
    <x:row r="133">
      <x:c r="A133" s="7" t="n">
        <x:v>3362</x:v>
      </x:c>
      <x:c r="B133" s="7" t="str">
        <x:v>Ursula Silva</x:v>
      </x:c>
      <x:c r="C133" s="7" t="str">
        <x:v>Standard</x:v>
      </x:c>
      <x:c r="D133" s="8" t="n">
        <x:v>45479</x:v>
      </x:c>
      <x:c r="E133" s="7" t="str">
        <x:v>Yes</x:v>
      </x:c>
      <x:c r="F133" s="9" t="n">
        <x:v>10</x:v>
      </x:c>
      <x:c r="G133" s="7" t="str">
        <x:v>Annual</x:v>
      </x:c>
      <x:c r="H133" s="7" t="str">
        <x:v>No</x:v>
      </x:c>
      <x:c r="I133" s="9" t="str">
        <x:v>-</x:v>
      </x:c>
      <x:c r="J133" s="7" t="str">
        <x:v>Yes</x:v>
      </x:c>
      <x:c r="K133" s="9" t="n">
        <x:v>20</x:v>
      </x:c>
      <x:c r="L133" s="9" t="n">
        <x:v>15</x:v>
      </x:c>
      <x:c r="M133" s="9" t="n">
        <x:v>15</x:v>
      </x:c>
    </x:row>
    <x:row r="134">
      <x:c r="A134" s="7" t="n">
        <x:v>3363</x:v>
      </x:c>
      <x:c r="B134" s="7" t="str">
        <x:v>Vanessa Moraes</x:v>
      </x:c>
      <x:c r="C134" s="7" t="str">
        <x:v>Core</x:v>
      </x:c>
      <x:c r="D134" s="8" t="n">
        <x:v>45480</x:v>
      </x:c>
      <x:c r="E134" s="7" t="str">
        <x:v>No</x:v>
      </x:c>
      <x:c r="F134" s="9" t="n">
        <x:v>5</x:v>
      </x:c>
      <x:c r="G134" s="7" t="str">
        <x:v>Monthly</x:v>
      </x:c>
      <x:c r="H134" s="7" t="str">
        <x:v>No</x:v>
      </x:c>
      <x:c r="I134" s="9" t="str">
        <x:v>-</x:v>
      </x:c>
      <x:c r="J134" s="7" t="str">
        <x:v>No</x:v>
      </x:c>
      <x:c r="K134" s="9" t="n">
        <x:v>0</x:v>
      </x:c>
      <x:c r="L134" s="9" t="n">
        <x:v>1</x:v>
      </x:c>
      <x:c r="M134" s="9" t="n">
        <x:v>4</x:v>
      </x:c>
    </x:row>
    <x:row r="135">
      <x:c r="A135" s="7" t="n">
        <x:v>3364</x:v>
      </x:c>
      <x:c r="B135" s="7" t="str">
        <x:v>Waldir Junior</x:v>
      </x:c>
      <x:c r="C135" s="7" t="str">
        <x:v>Ultimate</x:v>
      </x:c>
      <x:c r="D135" s="8" t="n">
        <x:v>45481</x:v>
      </x:c>
      <x:c r="E135" s="7" t="str">
        <x:v>Yes</x:v>
      </x:c>
      <x:c r="F135" s="9" t="n">
        <x:v>15</x:v>
      </x:c>
      <x:c r="G135" s="7" t="str">
        <x:v>Quarterly</x:v>
      </x:c>
      <x:c r="H135" s="7" t="str">
        <x:v>Yes</x:v>
      </x:c>
      <x:c r="I135" s="9" t="n">
        <x:v>30</x:v>
      </x:c>
      <x:c r="J135" s="7" t="str">
        <x:v>Yes</x:v>
      </x:c>
      <x:c r="K135" s="9" t="n">
        <x:v>20</x:v>
      </x:c>
      <x:c r="L135" s="9" t="n">
        <x:v>7</x:v>
      </x:c>
      <x:c r="M135" s="9" t="n">
        <x:v>58</x:v>
      </x:c>
    </x:row>
    <x:row r="136">
      <x:c r="A136" s="7" t="n">
        <x:v>3365</x:v>
      </x:c>
      <x:c r="B136" s="7" t="str">
        <x:v>Xavier Lopes</x:v>
      </x:c>
      <x:c r="C136" s="7" t="str">
        <x:v>Standard</x:v>
      </x:c>
      <x:c r="D136" s="8" t="n">
        <x:v>45482</x:v>
      </x:c>
      <x:c r="E136" s="7" t="str">
        <x:v>No</x:v>
      </x:c>
      <x:c r="F136" s="9" t="n">
        <x:v>10</x:v>
      </x:c>
      <x:c r="G136" s="7" t="str">
        <x:v>Monthly</x:v>
      </x:c>
      <x:c r="H136" s="7" t="str">
        <x:v>No</x:v>
      </x:c>
      <x:c r="I136" s="9" t="str">
        <x:v>-</x:v>
      </x:c>
      <x:c r="J136" s="7" t="str">
        <x:v>Yes</x:v>
      </x:c>
      <x:c r="K136" s="9" t="n">
        <x:v>20</x:v>
      </x:c>
      <x:c r="L136" s="9" t="n">
        <x:v>10</x:v>
      </x:c>
      <x:c r="M136" s="9" t="n">
        <x:v>20</x:v>
      </x:c>
    </x:row>
    <x:row r="137">
      <x:c r="A137" s="7" t="n">
        <x:v>3366</x:v>
      </x:c>
      <x:c r="B137" s="7" t="str">
        <x:v>Yolanda Freitas</x:v>
      </x:c>
      <x:c r="C137" s="7" t="str">
        <x:v>Core</x:v>
      </x:c>
      <x:c r="D137" s="8" t="n">
        <x:v>45483</x:v>
      </x:c>
      <x:c r="E137" s="7" t="str">
        <x:v>Yes</x:v>
      </x:c>
      <x:c r="F137" s="9" t="n">
        <x:v>5</x:v>
      </x:c>
      <x:c r="G137" s="7" t="str">
        <x:v>Monthly</x:v>
      </x:c>
      <x:c r="H137" s="7" t="str">
        <x:v>No</x:v>
      </x:c>
      <x:c r="I137" s="9" t="str">
        <x:v>-</x:v>
      </x:c>
      <x:c r="J137" s="7" t="str">
        <x:v>No</x:v>
      </x:c>
      <x:c r="K137" s="9" t="n">
        <x:v>0</x:v>
      </x:c>
      <x:c r="L137" s="9" t="n">
        <x:v>0</x:v>
      </x:c>
      <x:c r="M137" s="9" t="n">
        <x:v>5</x:v>
      </x:c>
    </x:row>
    <x:row r="138">
      <x:c r="A138" s="7" t="n">
        <x:v>3367</x:v>
      </x:c>
      <x:c r="B138" s="7" t="str">
        <x:v>Zacarias Nunes</x:v>
      </x:c>
      <x:c r="C138" s="7" t="str">
        <x:v>Ultimate</x:v>
      </x:c>
      <x:c r="D138" s="8" t="n">
        <x:v>45484</x:v>
      </x:c>
      <x:c r="E138" s="7" t="str">
        <x:v>No</x:v>
      </x:c>
      <x:c r="F138" s="9" t="n">
        <x:v>15</x:v>
      </x:c>
      <x:c r="G138" s="7" t="str">
        <x:v>Quarterly</x:v>
      </x:c>
      <x:c r="H138" s="7" t="str">
        <x:v>Yes</x:v>
      </x:c>
      <x:c r="I138" s="9" t="n">
        <x:v>30</x:v>
      </x:c>
      <x:c r="J138" s="7" t="str">
        <x:v>Yes</x:v>
      </x:c>
      <x:c r="K138" s="9" t="n">
        <x:v>20</x:v>
      </x:c>
      <x:c r="L138" s="9" t="n">
        <x:v>7</x:v>
      </x:c>
      <x:c r="M138" s="9" t="n">
        <x:v>58</x:v>
      </x:c>
    </x:row>
    <x:row r="139">
      <x:c r="A139" s="7" t="n">
        <x:v>3368</x:v>
      </x:c>
      <x:c r="B139" s="7" t="str">
        <x:v>Ana Clara Barreto</x:v>
      </x:c>
      <x:c r="C139" s="7" t="str">
        <x:v>Standard</x:v>
      </x:c>
      <x:c r="D139" s="8" t="n">
        <x:v>45485</x:v>
      </x:c>
      <x:c r="E139" s="7" t="str">
        <x:v>Yes</x:v>
      </x:c>
      <x:c r="F139" s="9" t="n">
        <x:v>10</x:v>
      </x:c>
      <x:c r="G139" s="7" t="str">
        <x:v>Annual</x:v>
      </x:c>
      <x:c r="H139" s="7" t="str">
        <x:v>No</x:v>
      </x:c>
      <x:c r="I139" s="9" t="str">
        <x:v>-</x:v>
      </x:c>
      <x:c r="J139" s="7" t="str">
        <x:v>Yes</x:v>
      </x:c>
      <x:c r="K139" s="9" t="n">
        <x:v>20</x:v>
      </x:c>
      <x:c r="L139" s="9" t="n">
        <x:v>10</x:v>
      </x:c>
      <x:c r="M139" s="9" t="n">
        <x:v>20</x:v>
      </x:c>
    </x:row>
    <x:row r="140">
      <x:c r="A140" s="7" t="n">
        <x:v>3369</x:v>
      </x:c>
      <x:c r="B140" s="7" t="str">
        <x:v>Bruno Henrique</x:v>
      </x:c>
      <x:c r="C140" s="7" t="str">
        <x:v>Core</x:v>
      </x:c>
      <x:c r="D140" s="8" t="n">
        <x:v>45486</x:v>
      </x:c>
      <x:c r="E140" s="7" t="str">
        <x:v>No</x:v>
      </x:c>
      <x:c r="F140" s="9" t="n">
        <x:v>5</x:v>
      </x:c>
      <x:c r="G140" s="7" t="str">
        <x:v>Quarterly</x:v>
      </x:c>
      <x:c r="H140" s="7" t="str">
        <x:v>No</x:v>
      </x:c>
      <x:c r="I140" s="9" t="str">
        <x:v>-</x:v>
      </x:c>
      <x:c r="J140" s="7" t="str">
        <x:v>No</x:v>
      </x:c>
      <x:c r="K140" s="9" t="n">
        <x:v>0</x:v>
      </x:c>
      <x:c r="L140" s="9" t="n">
        <x:v>1</x:v>
      </x:c>
      <x:c r="M140" s="9" t="n">
        <x:v>4</x:v>
      </x:c>
    </x:row>
    <x:row r="141">
      <x:c r="A141" s="7" t="n">
        <x:v>3370</x:v>
      </x:c>
      <x:c r="B141" s="7" t="str">
        <x:v>Carlos Eduardo</x:v>
      </x:c>
      <x:c r="C141" s="7" t="str">
        <x:v>Ultimate</x:v>
      </x:c>
      <x:c r="D141" s="8" t="n">
        <x:v>45487</x:v>
      </x:c>
      <x:c r="E141" s="7" t="str">
        <x:v>Yes</x:v>
      </x:c>
      <x:c r="F141" s="9" t="n">
        <x:v>15</x:v>
      </x:c>
      <x:c r="G141" s="7" t="str">
        <x:v>Monthly</x:v>
      </x:c>
      <x:c r="H141" s="7" t="str">
        <x:v>Yes</x:v>
      </x:c>
      <x:c r="I141" s="9" t="n">
        <x:v>30</x:v>
      </x:c>
      <x:c r="J141" s="7" t="str">
        <x:v>Yes</x:v>
      </x:c>
      <x:c r="K141" s="9" t="n">
        <x:v>20</x:v>
      </x:c>
      <x:c r="L141" s="9" t="n">
        <x:v>15</x:v>
      </x:c>
      <x:c r="M141" s="9" t="n">
        <x:v>50</x:v>
      </x:c>
    </x:row>
    <x:row r="142">
      <x:c r="A142" s="7" t="n">
        <x:v>3371</x:v>
      </x:c>
      <x:c r="B142" s="7" t="str">
        <x:v>Débora Lima</x:v>
      </x:c>
      <x:c r="C142" s="7" t="str">
        <x:v>Standard</x:v>
      </x:c>
      <x:c r="D142" s="8" t="n">
        <x:v>45488</x:v>
      </x:c>
      <x:c r="E142" s="7" t="str">
        <x:v>No</x:v>
      </x:c>
      <x:c r="F142" s="9" t="n">
        <x:v>10</x:v>
      </x:c>
      <x:c r="G142" s="7" t="str">
        <x:v>Monthly</x:v>
      </x:c>
      <x:c r="H142" s="7" t="str">
        <x:v>No</x:v>
      </x:c>
      <x:c r="I142" s="9" t="str">
        <x:v>-</x:v>
      </x:c>
      <x:c r="J142" s="7" t="str">
        <x:v>Yes</x:v>
      </x:c>
      <x:c r="K142" s="9" t="n">
        <x:v>20</x:v>
      </x:c>
      <x:c r="L142" s="9" t="n">
        <x:v>5</x:v>
      </x:c>
      <x:c r="M142" s="9" t="n">
        <x:v>25</x:v>
      </x:c>
    </x:row>
    <x:row r="143">
      <x:c r="A143" s="7" t="n">
        <x:v>3372</x:v>
      </x:c>
      <x:c r="B143" s="7" t="str">
        <x:v>Elisa Neves</x:v>
      </x:c>
      <x:c r="C143" s="7" t="str">
        <x:v>Core</x:v>
      </x:c>
      <x:c r="D143" s="8" t="n">
        <x:v>45489</x:v>
      </x:c>
      <x:c r="E143" s="7" t="str">
        <x:v>Yes</x:v>
      </x:c>
      <x:c r="F143" s="9" t="n">
        <x:v>5</x:v>
      </x:c>
      <x:c r="G143" s="7" t="str">
        <x:v>Annual</x:v>
      </x:c>
      <x:c r="H143" s="7" t="str">
        <x:v>No</x:v>
      </x:c>
      <x:c r="I143" s="9" t="str">
        <x:v>-</x:v>
      </x:c>
      <x:c r="J143" s="7" t="str">
        <x:v>No</x:v>
      </x:c>
      <x:c r="K143" s="9" t="n">
        <x:v>0</x:v>
      </x:c>
      <x:c r="L143" s="9" t="n">
        <x:v>0</x:v>
      </x:c>
      <x:c r="M143" s="9" t="n">
        <x:v>5</x:v>
      </x:c>
    </x:row>
    <x:row r="144">
      <x:c r="A144" s="7" t="n">
        <x:v>3373</x:v>
      </x:c>
      <x:c r="B144" s="7" t="str">
        <x:v>Fabiano Gomes</x:v>
      </x:c>
      <x:c r="C144" s="7" t="str">
        <x:v>Ultimate</x:v>
      </x:c>
      <x:c r="D144" s="8" t="n">
        <x:v>45490</x:v>
      </x:c>
      <x:c r="E144" s="7" t="str">
        <x:v>No</x:v>
      </x:c>
      <x:c r="F144" s="9" t="n">
        <x:v>15</x:v>
      </x:c>
      <x:c r="G144" s="7" t="str">
        <x:v>Quarterly</x:v>
      </x:c>
      <x:c r="H144" s="7" t="str">
        <x:v>Yes</x:v>
      </x:c>
      <x:c r="I144" s="9" t="n">
        <x:v>30</x:v>
      </x:c>
      <x:c r="J144" s="7" t="str">
        <x:v>Yes</x:v>
      </x:c>
      <x:c r="K144" s="9" t="n">
        <x:v>20</x:v>
      </x:c>
      <x:c r="L144" s="9" t="n">
        <x:v>20</x:v>
      </x:c>
      <x:c r="M144" s="9" t="n">
        <x:v>45</x:v>
      </x:c>
    </x:row>
    <x:row r="145">
      <x:c r="A145" s="7" t="n">
        <x:v>3374</x:v>
      </x:c>
      <x:c r="B145" s="7" t="str">
        <x:v>Gisele Oliveira</x:v>
      </x:c>
      <x:c r="C145" s="7" t="str">
        <x:v>Standard</x:v>
      </x:c>
      <x:c r="D145" s="8" t="n">
        <x:v>45491</x:v>
      </x:c>
      <x:c r="E145" s="7" t="str">
        <x:v>Yes</x:v>
      </x:c>
      <x:c r="F145" s="9" t="n">
        <x:v>10</x:v>
      </x:c>
      <x:c r="G145" s="7" t="str">
        <x:v>Quarterly</x:v>
      </x:c>
      <x:c r="H145" s="7" t="str">
        <x:v>No</x:v>
      </x:c>
      <x:c r="I145" s="9" t="str">
        <x:v>-</x:v>
      </x:c>
      <x:c r="J145" s="7" t="str">
        <x:v>Yes</x:v>
      </x:c>
      <x:c r="K145" s="9" t="n">
        <x:v>20</x:v>
      </x:c>
      <x:c r="L145" s="9" t="n">
        <x:v>12</x:v>
      </x:c>
      <x:c r="M145" s="9" t="n">
        <x:v>18</x:v>
      </x:c>
    </x:row>
    <x:row r="146">
      <x:c r="A146" s="7" t="n">
        <x:v>3375</x:v>
      </x:c>
      <x:c r="B146" s="7" t="str">
        <x:v>Héctor Silva</x:v>
      </x:c>
      <x:c r="C146" s="7" t="str">
        <x:v>Core</x:v>
      </x:c>
      <x:c r="D146" s="8" t="n">
        <x:v>45492</x:v>
      </x:c>
      <x:c r="E146" s="7" t="str">
        <x:v>No</x:v>
      </x:c>
      <x:c r="F146" s="9" t="n">
        <x:v>5</x:v>
      </x:c>
      <x:c r="G146" s="7" t="str">
        <x:v>Monthly</x:v>
      </x:c>
      <x:c r="H146" s="7" t="str">
        <x:v>No</x:v>
      </x:c>
      <x:c r="I146" s="9" t="str">
        <x:v>-</x:v>
      </x:c>
      <x:c r="J146" s="7" t="str">
        <x:v>No</x:v>
      </x:c>
      <x:c r="K146" s="9" t="n">
        <x:v>0</x:v>
      </x:c>
      <x:c r="L146" s="9" t="n">
        <x:v>2</x:v>
      </x:c>
      <x:c r="M146" s="9" t="n">
        <x:v>3</x:v>
      </x:c>
    </x:row>
    <x:row r="147">
      <x:c r="A147" s="7" t="n">
        <x:v>3376</x:v>
      </x:c>
      <x:c r="B147" s="7" t="str">
        <x:v>Igor Martins</x:v>
      </x:c>
      <x:c r="C147" s="7" t="str">
        <x:v>Ultimate</x:v>
      </x:c>
      <x:c r="D147" s="8" t="n">
        <x:v>45493</x:v>
      </x:c>
      <x:c r="E147" s="7" t="str">
        <x:v>Yes</x:v>
      </x:c>
      <x:c r="F147" s="9" t="n">
        <x:v>15</x:v>
      </x:c>
      <x:c r="G147" s="7" t="str">
        <x:v>Annual</x:v>
      </x:c>
      <x:c r="H147" s="7" t="str">
        <x:v>Yes</x:v>
      </x:c>
      <x:c r="I147" s="9" t="n">
        <x:v>30</x:v>
      </x:c>
      <x:c r="J147" s="7" t="str">
        <x:v>Yes</x:v>
      </x:c>
      <x:c r="K147" s="9" t="n">
        <x:v>20</x:v>
      </x:c>
      <x:c r="L147" s="9" t="n">
        <x:v>5</x:v>
      </x:c>
      <x:c r="M147" s="9" t="n">
        <x:v>60</x:v>
      </x:c>
    </x:row>
    <x:row r="148">
      <x:c r="A148" s="7" t="n">
        <x:v>3377</x:v>
      </x:c>
      <x:c r="B148" s="7" t="str">
        <x:v>Joana Figueiredo</x:v>
      </x:c>
      <x:c r="C148" s="7" t="str">
        <x:v>Standard</x:v>
      </x:c>
      <x:c r="D148" s="8" t="n">
        <x:v>45494</x:v>
      </x:c>
      <x:c r="E148" s="7" t="str">
        <x:v>No</x:v>
      </x:c>
      <x:c r="F148" s="9" t="n">
        <x:v>10</x:v>
      </x:c>
      <x:c r="G148" s="7" t="str">
        <x:v>Monthly</x:v>
      </x:c>
      <x:c r="H148" s="7" t="str">
        <x:v>No</x:v>
      </x:c>
      <x:c r="I148" s="9" t="str">
        <x:v>-</x:v>
      </x:c>
      <x:c r="J148" s="7" t="str">
        <x:v>Yes</x:v>
      </x:c>
      <x:c r="K148" s="9" t="n">
        <x:v>20</x:v>
      </x:c>
      <x:c r="L148" s="9" t="n">
        <x:v>10</x:v>
      </x:c>
      <x:c r="M148" s="9" t="n">
        <x:v>20</x:v>
      </x:c>
    </x:row>
    <x:row r="149">
      <x:c r="A149" s="7" t="n">
        <x:v>3378</x:v>
      </x:c>
      <x:c r="B149" s="7" t="str">
        <x:v>Kleber Machado</x:v>
      </x:c>
      <x:c r="C149" s="7" t="str">
        <x:v>Core</x:v>
      </x:c>
      <x:c r="D149" s="8" t="n">
        <x:v>45495</x:v>
      </x:c>
      <x:c r="E149" s="7" t="str">
        <x:v>Yes</x:v>
      </x:c>
      <x:c r="F149" s="9" t="n">
        <x:v>5</x:v>
      </x:c>
      <x:c r="G149" s="7" t="str">
        <x:v>Quarterly</x:v>
      </x:c>
      <x:c r="H149" s="7" t="str">
        <x:v>No</x:v>
      </x:c>
      <x:c r="I149" s="9" t="str">
        <x:v>-</x:v>
      </x:c>
      <x:c r="J149" s="7" t="str">
        <x:v>No</x:v>
      </x:c>
      <x:c r="K149" s="9" t="n">
        <x:v>0</x:v>
      </x:c>
      <x:c r="L149" s="9" t="n">
        <x:v>0</x:v>
      </x:c>
      <x:c r="M149" s="9" t="n">
        <x:v>5</x:v>
      </x:c>
    </x:row>
    <x:row r="150">
      <x:c r="A150" s="7" t="n">
        <x:v>3379</x:v>
      </x:c>
      <x:c r="B150" s="7" t="str">
        <x:v>Luciana Santos</x:v>
      </x:c>
      <x:c r="C150" s="7" t="str">
        <x:v>Ultimate</x:v>
      </x:c>
      <x:c r="D150" s="8" t="n">
        <x:v>45496</x:v>
      </x:c>
      <x:c r="E150" s="7" t="str">
        <x:v>No</x:v>
      </x:c>
      <x:c r="F150" s="9" t="n">
        <x:v>15</x:v>
      </x:c>
      <x:c r="G150" s="7" t="str">
        <x:v>Monthly</x:v>
      </x:c>
      <x:c r="H150" s="7" t="str">
        <x:v>Yes</x:v>
      </x:c>
      <x:c r="I150" s="9" t="n">
        <x:v>30</x:v>
      </x:c>
      <x:c r="J150" s="7" t="str">
        <x:v>Yes</x:v>
      </x:c>
      <x:c r="K150" s="9" t="n">
        <x:v>20</x:v>
      </x:c>
      <x:c r="L150" s="9" t="n">
        <x:v>3</x:v>
      </x:c>
      <x:c r="M150" s="9" t="n">
        <x:v>62</x:v>
      </x:c>
    </x:row>
    <x:row r="151">
      <x:c r="A151" s="7" t="n">
        <x:v>3380</x:v>
      </x:c>
      <x:c r="B151" s="7" t="str">
        <x:v>Marcos Teixeira</x:v>
      </x:c>
      <x:c r="C151" s="7" t="str">
        <x:v>Standard</x:v>
      </x:c>
      <x:c r="D151" s="8" t="n">
        <x:v>45497</x:v>
      </x:c>
      <x:c r="E151" s="7" t="str">
        <x:v>Yes</x:v>
      </x:c>
      <x:c r="F151" s="9" t="n">
        <x:v>10</x:v>
      </x:c>
      <x:c r="G151" s="7" t="str">
        <x:v>Annual</x:v>
      </x:c>
      <x:c r="H151" s="7" t="str">
        <x:v>No</x:v>
      </x:c>
      <x:c r="I151" s="9" t="str">
        <x:v>-</x:v>
      </x:c>
      <x:c r="J151" s="7" t="str">
        <x:v>Yes</x:v>
      </x:c>
      <x:c r="K151" s="9" t="n">
        <x:v>20</x:v>
      </x:c>
      <x:c r="L151" s="9" t="n">
        <x:v>15</x:v>
      </x:c>
      <x:c r="M151" s="9" t="n">
        <x:v>15</x:v>
      </x:c>
    </x:row>
    <x:row r="152">
      <x:c r="A152" s="7" t="n">
        <x:v>3381</x:v>
      </x:c>
      <x:c r="B152" s="7" t="str">
        <x:v>Natalia Costa</x:v>
      </x:c>
      <x:c r="C152" s="7" t="str">
        <x:v>Core</x:v>
      </x:c>
      <x:c r="D152" s="8" t="n">
        <x:v>45498</x:v>
      </x:c>
      <x:c r="E152" s="7" t="str">
        <x:v>No</x:v>
      </x:c>
      <x:c r="F152" s="9" t="n">
        <x:v>5</x:v>
      </x:c>
      <x:c r="G152" s="7" t="str">
        <x:v>Monthly</x:v>
      </x:c>
      <x:c r="H152" s="7" t="str">
        <x:v>No</x:v>
      </x:c>
      <x:c r="I152" s="9" t="str">
        <x:v>-</x:v>
      </x:c>
      <x:c r="J152" s="7" t="str">
        <x:v>No</x:v>
      </x:c>
      <x:c r="K152" s="9" t="n">
        <x:v>0</x:v>
      </x:c>
      <x:c r="L152" s="9" t="n">
        <x:v>1</x:v>
      </x:c>
      <x:c r="M152" s="9" t="n">
        <x:v>4</x:v>
      </x:c>
    </x:row>
    <x:row r="153">
      <x:c r="A153" s="7" t="n">
        <x:v>3382</x:v>
      </x:c>
      <x:c r="B153" s="7" t="str">
        <x:v>Oscar Ribeiro</x:v>
      </x:c>
      <x:c r="C153" s="7" t="str">
        <x:v>Ultimate</x:v>
      </x:c>
      <x:c r="D153" s="8" t="n">
        <x:v>45499</x:v>
      </x:c>
      <x:c r="E153" s="7" t="str">
        <x:v>Yes</x:v>
      </x:c>
      <x:c r="F153" s="9" t="n">
        <x:v>15</x:v>
      </x:c>
      <x:c r="G153" s="7" t="str">
        <x:v>Quarterly</x:v>
      </x:c>
      <x:c r="H153" s="7" t="str">
        <x:v>Yes</x:v>
      </x:c>
      <x:c r="I153" s="9" t="n">
        <x:v>30</x:v>
      </x:c>
      <x:c r="J153" s="7" t="str">
        <x:v>Yes</x:v>
      </x:c>
      <x:c r="K153" s="9" t="n">
        <x:v>20</x:v>
      </x:c>
      <x:c r="L153" s="9" t="n">
        <x:v>7</x:v>
      </x:c>
      <x:c r="M153" s="9" t="n">
        <x:v>58</x:v>
      </x:c>
    </x:row>
    <x:row r="154">
      <x:c r="A154" s="7" t="n">
        <x:v>3383</x:v>
      </x:c>
      <x:c r="B154" s="7" t="str">
        <x:v>Patricia Almeida</x:v>
      </x:c>
      <x:c r="C154" s="7" t="str">
        <x:v>Standard</x:v>
      </x:c>
      <x:c r="D154" s="8" t="n">
        <x:v>45500</x:v>
      </x:c>
      <x:c r="E154" s="7" t="str">
        <x:v>No</x:v>
      </x:c>
      <x:c r="F154" s="9" t="n">
        <x:v>10</x:v>
      </x:c>
      <x:c r="G154" s="7" t="str">
        <x:v>Monthly</x:v>
      </x:c>
      <x:c r="H154" s="7" t="str">
        <x:v>No</x:v>
      </x:c>
      <x:c r="I154" s="9" t="str">
        <x:v>-</x:v>
      </x:c>
      <x:c r="J154" s="7" t="str">
        <x:v>Yes</x:v>
      </x:c>
      <x:c r="K154" s="9" t="n">
        <x:v>20</x:v>
      </x:c>
      <x:c r="L154" s="9" t="n">
        <x:v>10</x:v>
      </x:c>
      <x:c r="M154" s="9" t="n">
        <x:v>20</x:v>
      </x:c>
    </x:row>
    <x:row r="155">
      <x:c r="A155" s="7" t="n">
        <x:v>3384</x:v>
      </x:c>
      <x:c r="B155" s="7" t="str">
        <x:v>Quirino Junior</x:v>
      </x:c>
      <x:c r="C155" s="7" t="str">
        <x:v>Core</x:v>
      </x:c>
      <x:c r="D155" s="8" t="n">
        <x:v>45501</x:v>
      </x:c>
      <x:c r="E155" s="7" t="str">
        <x:v>Yes</x:v>
      </x:c>
      <x:c r="F155" s="9" t="n">
        <x:v>5</x:v>
      </x:c>
      <x:c r="G155" s="7" t="str">
        <x:v>Annual</x:v>
      </x:c>
      <x:c r="H155" s="7" t="str">
        <x:v>No</x:v>
      </x:c>
      <x:c r="I155" s="9" t="str">
        <x:v>-</x:v>
      </x:c>
      <x:c r="J155" s="7" t="str">
        <x:v>No</x:v>
      </x:c>
      <x:c r="K155" s="9" t="n">
        <x:v>0</x:v>
      </x:c>
      <x:c r="L155" s="9" t="n">
        <x:v>0</x:v>
      </x:c>
      <x:c r="M155" s="9" t="n">
        <x:v>5</x:v>
      </x:c>
    </x:row>
    <x:row r="156">
      <x:c r="A156" s="7" t="n">
        <x:v>3385</x:v>
      </x:c>
      <x:c r="B156" s="7" t="str">
        <x:v>Renata Machado</x:v>
      </x:c>
      <x:c r="C156" s="7" t="str">
        <x:v>Ultimate</x:v>
      </x:c>
      <x:c r="D156" s="8" t="n">
        <x:v>45502</x:v>
      </x:c>
      <x:c r="E156" s="7" t="str">
        <x:v>No</x:v>
      </x:c>
      <x:c r="F156" s="9" t="n">
        <x:v>15</x:v>
      </x:c>
      <x:c r="G156" s="7" t="str">
        <x:v>Monthly</x:v>
      </x:c>
      <x:c r="H156" s="7" t="str">
        <x:v>Yes</x:v>
      </x:c>
      <x:c r="I156" s="9" t="n">
        <x:v>30</x:v>
      </x:c>
      <x:c r="J156" s="7" t="str">
        <x:v>Yes</x:v>
      </x:c>
      <x:c r="K156" s="9" t="n">
        <x:v>20</x:v>
      </x:c>
      <x:c r="L156" s="9" t="n">
        <x:v>20</x:v>
      </x:c>
      <x:c r="M156" s="9" t="n">
        <x:v>45</x:v>
      </x:c>
    </x:row>
    <x:row r="157">
      <x:c r="A157" s="7" t="n">
        <x:v>3386</x:v>
      </x:c>
      <x:c r="B157" s="7" t="str">
        <x:v>Sônia Alves</x:v>
      </x:c>
      <x:c r="C157" s="7" t="str">
        <x:v>Standard</x:v>
      </x:c>
      <x:c r="D157" s="8" t="n">
        <x:v>45503</x:v>
      </x:c>
      <x:c r="E157" s="7" t="str">
        <x:v>Yes</x:v>
      </x:c>
      <x:c r="F157" s="9" t="n">
        <x:v>10</x:v>
      </x:c>
      <x:c r="G157" s="7" t="str">
        <x:v>Quarterly</x:v>
      </x:c>
      <x:c r="H157" s="7" t="str">
        <x:v>No</x:v>
      </x:c>
      <x:c r="I157" s="9" t="str">
        <x:v>-</x:v>
      </x:c>
      <x:c r="J157" s="7" t="str">
        <x:v>Yes</x:v>
      </x:c>
      <x:c r="K157" s="9" t="n">
        <x:v>20</x:v>
      </x:c>
      <x:c r="L157" s="9" t="n">
        <x:v>15</x:v>
      </x:c>
      <x:c r="M157" s="9" t="n">
        <x:v>15</x:v>
      </x:c>
    </x:row>
    <x:row r="158">
      <x:c r="A158" s="7" t="n">
        <x:v>3387</x:v>
      </x:c>
      <x:c r="B158" s="7" t="str">
        <x:v>Tiago Nunes</x:v>
      </x:c>
      <x:c r="C158" s="7" t="str">
        <x:v>Core</x:v>
      </x:c>
      <x:c r="D158" s="8" t="n">
        <x:v>45504</x:v>
      </x:c>
      <x:c r="E158" s="7" t="str">
        <x:v>No</x:v>
      </x:c>
      <x:c r="F158" s="9" t="n">
        <x:v>5</x:v>
      </x:c>
      <x:c r="G158" s="7" t="str">
        <x:v>Monthly</x:v>
      </x:c>
      <x:c r="H158" s="7" t="str">
        <x:v>No</x:v>
      </x:c>
      <x:c r="I158" s="9" t="str">
        <x:v>-</x:v>
      </x:c>
      <x:c r="J158" s="7" t="str">
        <x:v>No</x:v>
      </x:c>
      <x:c r="K158" s="9" t="n">
        <x:v>0</x:v>
      </x:c>
      <x:c r="L158" s="9" t="n">
        <x:v>1</x:v>
      </x:c>
      <x:c r="M158" s="9" t="n">
        <x:v>4</x:v>
      </x:c>
    </x:row>
    <x:row r="159">
      <x:c r="A159" s="7" t="n">
        <x:v>3388</x:v>
      </x:c>
      <x:c r="B159" s="7" t="str">
        <x:v>Ulysses Pereira</x:v>
      </x:c>
      <x:c r="C159" s="7" t="str">
        <x:v>Ultimate</x:v>
      </x:c>
      <x:c r="D159" s="8" t="n">
        <x:v>45505</x:v>
      </x:c>
      <x:c r="E159" s="7" t="str">
        <x:v>Yes</x:v>
      </x:c>
      <x:c r="F159" s="9" t="n">
        <x:v>15</x:v>
      </x:c>
      <x:c r="G159" s="7" t="str">
        <x:v>Annual</x:v>
      </x:c>
      <x:c r="H159" s="7" t="str">
        <x:v>Yes</x:v>
      </x:c>
      <x:c r="I159" s="9" t="n">
        <x:v>30</x:v>
      </x:c>
      <x:c r="J159" s="7" t="str">
        <x:v>Yes</x:v>
      </x:c>
      <x:c r="K159" s="9" t="n">
        <x:v>20</x:v>
      </x:c>
      <x:c r="L159" s="9" t="n">
        <x:v>3</x:v>
      </x:c>
      <x:c r="M159" s="9" t="n">
        <x:v>62</x:v>
      </x:c>
    </x:row>
    <x:row r="160">
      <x:c r="A160" s="7" t="n">
        <x:v>3389</x:v>
      </x:c>
      <x:c r="B160" s="7" t="str">
        <x:v>Vanessa Lima</x:v>
      </x:c>
      <x:c r="C160" s="7" t="str">
        <x:v>Standard</x:v>
      </x:c>
      <x:c r="D160" s="8" t="n">
        <x:v>45506</x:v>
      </x:c>
      <x:c r="E160" s="7" t="str">
        <x:v>No</x:v>
      </x:c>
      <x:c r="F160" s="9" t="n">
        <x:v>10</x:v>
      </x:c>
      <x:c r="G160" s="7" t="str">
        <x:v>Monthly</x:v>
      </x:c>
      <x:c r="H160" s="7" t="str">
        <x:v>No</x:v>
      </x:c>
      <x:c r="I160" s="9" t="str">
        <x:v>-</x:v>
      </x:c>
      <x:c r="J160" s="7" t="str">
        <x:v>Yes</x:v>
      </x:c>
      <x:c r="K160" s="9" t="n">
        <x:v>20</x:v>
      </x:c>
      <x:c r="L160" s="9" t="n">
        <x:v>10</x:v>
      </x:c>
      <x:c r="M160" s="9" t="n">
        <x:v>20</x:v>
      </x:c>
    </x:row>
    <x:row r="161">
      <x:c r="A161" s="7" t="n">
        <x:v>3390</x:v>
      </x:c>
      <x:c r="B161" s="7" t="str">
        <x:v>Wagner Santos</x:v>
      </x:c>
      <x:c r="C161" s="7" t="str">
        <x:v>Core</x:v>
      </x:c>
      <x:c r="D161" s="8" t="n">
        <x:v>45507</x:v>
      </x:c>
      <x:c r="E161" s="7" t="str">
        <x:v>Yes</x:v>
      </x:c>
      <x:c r="F161" s="9" t="n">
        <x:v>5</x:v>
      </x:c>
      <x:c r="G161" s="7" t="str">
        <x:v>Quarterly</x:v>
      </x:c>
      <x:c r="H161" s="7" t="str">
        <x:v>No</x:v>
      </x:c>
      <x:c r="I161" s="9" t="str">
        <x:v>-</x:v>
      </x:c>
      <x:c r="J161" s="7" t="str">
        <x:v>No</x:v>
      </x:c>
      <x:c r="K161" s="9" t="n">
        <x:v>0</x:v>
      </x:c>
      <x:c r="L161" s="9" t="n">
        <x:v>0</x:v>
      </x:c>
      <x:c r="M161" s="9" t="n">
        <x:v>5</x:v>
      </x:c>
    </x:row>
    <x:row r="162">
      <x:c r="A162" s="7" t="n">
        <x:v>3391</x:v>
      </x:c>
      <x:c r="B162" s="7" t="str">
        <x:v>Xuxa Meneghel</x:v>
      </x:c>
      <x:c r="C162" s="7" t="str">
        <x:v>Ultimate</x:v>
      </x:c>
      <x:c r="D162" s="8" t="n">
        <x:v>45508</x:v>
      </x:c>
      <x:c r="E162" s="7" t="str">
        <x:v>No</x:v>
      </x:c>
      <x:c r="F162" s="9" t="n">
        <x:v>15</x:v>
      </x:c>
      <x:c r="G162" s="7" t="str">
        <x:v>Monthly</x:v>
      </x:c>
      <x:c r="H162" s="7" t="str">
        <x:v>Yes</x:v>
      </x:c>
      <x:c r="I162" s="9" t="n">
        <x:v>30</x:v>
      </x:c>
      <x:c r="J162" s="7" t="str">
        <x:v>Yes</x:v>
      </x:c>
      <x:c r="K162" s="9" t="n">
        <x:v>20</x:v>
      </x:c>
      <x:c r="L162" s="9" t="n">
        <x:v>15</x:v>
      </x:c>
      <x:c r="M162" s="9" t="n">
        <x:v>50</x:v>
      </x:c>
    </x:row>
    <x:row r="163">
      <x:c r="A163" s="7" t="n">
        <x:v>3392</x:v>
      </x:c>
      <x:c r="B163" s="7" t="str">
        <x:v>Yasmin Silva</x:v>
      </x:c>
      <x:c r="C163" s="7" t="str">
        <x:v>Standard</x:v>
      </x:c>
      <x:c r="D163" s="8" t="n">
        <x:v>45509</x:v>
      </x:c>
      <x:c r="E163" s="7" t="str">
        <x:v>Yes</x:v>
      </x:c>
      <x:c r="F163" s="9" t="n">
        <x:v>10</x:v>
      </x:c>
      <x:c r="G163" s="7" t="str">
        <x:v>Annual</x:v>
      </x:c>
      <x:c r="H163" s="7" t="str">
        <x:v>No</x:v>
      </x:c>
      <x:c r="I163" s="9" t="str">
        <x:v>-</x:v>
      </x:c>
      <x:c r="J163" s="7" t="str">
        <x:v>Yes</x:v>
      </x:c>
      <x:c r="K163" s="9" t="n">
        <x:v>20</x:v>
      </x:c>
      <x:c r="L163" s="9" t="n">
        <x:v>15</x:v>
      </x:c>
      <x:c r="M163" s="9" t="n">
        <x:v>15</x:v>
      </x:c>
    </x:row>
    <x:row r="164">
      <x:c r="A164" s="7" t="n">
        <x:v>3393</x:v>
      </x:c>
      <x:c r="B164" s="7" t="str">
        <x:v>Zacarias de Souza</x:v>
      </x:c>
      <x:c r="C164" s="7" t="str">
        <x:v>Core</x:v>
      </x:c>
      <x:c r="D164" s="8" t="n">
        <x:v>45510</x:v>
      </x:c>
      <x:c r="E164" s="7" t="str">
        <x:v>No</x:v>
      </x:c>
      <x:c r="F164" s="9" t="n">
        <x:v>5</x:v>
      </x:c>
      <x:c r="G164" s="7" t="str">
        <x:v>Monthly</x:v>
      </x:c>
      <x:c r="H164" s="7" t="str">
        <x:v>No</x:v>
      </x:c>
      <x:c r="I164" s="9" t="str">
        <x:v>-</x:v>
      </x:c>
      <x:c r="J164" s="7" t="str">
        <x:v>No</x:v>
      </x:c>
      <x:c r="K164" s="9" t="n">
        <x:v>0</x:v>
      </x:c>
      <x:c r="L164" s="9" t="n">
        <x:v>1</x:v>
      </x:c>
      <x:c r="M164" s="9" t="n">
        <x:v>4</x:v>
      </x:c>
    </x:row>
    <x:row r="165">
      <x:c r="A165" s="7" t="n">
        <x:v>3394</x:v>
      </x:c>
      <x:c r="B165" s="7" t="str">
        <x:v>André Lima</x:v>
      </x:c>
      <x:c r="C165" s="7" t="str">
        <x:v>Ultimate</x:v>
      </x:c>
      <x:c r="D165" s="8" t="n">
        <x:v>45511</x:v>
      </x:c>
      <x:c r="E165" s="7" t="str">
        <x:v>Yes</x:v>
      </x:c>
      <x:c r="F165" s="9" t="n">
        <x:v>15</x:v>
      </x:c>
      <x:c r="G165" s="7" t="str">
        <x:v>Quarterly</x:v>
      </x:c>
      <x:c r="H165" s="7" t="str">
        <x:v>Yes</x:v>
      </x:c>
      <x:c r="I165" s="9" t="n">
        <x:v>30</x:v>
      </x:c>
      <x:c r="J165" s="7" t="str">
        <x:v>Yes</x:v>
      </x:c>
      <x:c r="K165" s="9" t="n">
        <x:v>20</x:v>
      </x:c>
      <x:c r="L165" s="9" t="n">
        <x:v>7</x:v>
      </x:c>
      <x:c r="M165" s="9" t="n">
        <x:v>58</x:v>
      </x:c>
    </x:row>
    <x:row r="166">
      <x:c r="A166" s="7" t="n">
        <x:v>3395</x:v>
      </x:c>
      <x:c r="B166" s="7" t="str">
        <x:v>Bianca Freitas</x:v>
      </x:c>
      <x:c r="C166" s="7" t="str">
        <x:v>Standard</x:v>
      </x:c>
      <x:c r="D166" s="8" t="n">
        <x:v>45512</x:v>
      </x:c>
      <x:c r="E166" s="7" t="str">
        <x:v>No</x:v>
      </x:c>
      <x:c r="F166" s="9" t="n">
        <x:v>10</x:v>
      </x:c>
      <x:c r="G166" s="7" t="str">
        <x:v>Monthly</x:v>
      </x:c>
      <x:c r="H166" s="7" t="str">
        <x:v>No</x:v>
      </x:c>
      <x:c r="I166" s="9" t="str">
        <x:v>-</x:v>
      </x:c>
      <x:c r="J166" s="7" t="str">
        <x:v>Yes</x:v>
      </x:c>
      <x:c r="K166" s="9" t="n">
        <x:v>20</x:v>
      </x:c>
      <x:c r="L166" s="9" t="n">
        <x:v>10</x:v>
      </x:c>
      <x:c r="M166" s="9" t="n">
        <x:v>20</x:v>
      </x:c>
    </x:row>
    <x:row r="167">
      <x:c r="A167" s="7" t="n">
        <x:v>3396</x:v>
      </x:c>
      <x:c r="B167" s="7" t="str">
        <x:v>Caio Mendes</x:v>
      </x:c>
      <x:c r="C167" s="7" t="str">
        <x:v>Core</x:v>
      </x:c>
      <x:c r="D167" s="8" t="n">
        <x:v>45513</x:v>
      </x:c>
      <x:c r="E167" s="7" t="str">
        <x:v>Yes</x:v>
      </x:c>
      <x:c r="F167" s="9" t="n">
        <x:v>5</x:v>
      </x:c>
      <x:c r="G167" s="7" t="str">
        <x:v>Annual</x:v>
      </x:c>
      <x:c r="H167" s="7" t="str">
        <x:v>No</x:v>
      </x:c>
      <x:c r="I167" s="9" t="str">
        <x:v>-</x:v>
      </x:c>
      <x:c r="J167" s="7" t="str">
        <x:v>No</x:v>
      </x:c>
      <x:c r="K167" s="9" t="n">
        <x:v>0</x:v>
      </x:c>
      <x:c r="L167" s="9" t="n">
        <x:v>0</x:v>
      </x:c>
      <x:c r="M167" s="9" t="n">
        <x:v>5</x:v>
      </x:c>
    </x:row>
    <x:row r="168">
      <x:c r="A168" s="7" t="n">
        <x:v>3397</x:v>
      </x:c>
      <x:c r="B168" s="7" t="str">
        <x:v>Daniela Moura</x:v>
      </x:c>
      <x:c r="C168" s="7" t="str">
        <x:v>Ultimate</x:v>
      </x:c>
      <x:c r="D168" s="8" t="n">
        <x:v>45514</x:v>
      </x:c>
      <x:c r="E168" s="7" t="str">
        <x:v>No</x:v>
      </x:c>
      <x:c r="F168" s="9" t="n">
        <x:v>15</x:v>
      </x:c>
      <x:c r="G168" s="7" t="str">
        <x:v>Monthly</x:v>
      </x:c>
      <x:c r="H168" s="7" t="str">
        <x:v>Yes</x:v>
      </x:c>
      <x:c r="I168" s="9" t="n">
        <x:v>30</x:v>
      </x:c>
      <x:c r="J168" s="7" t="str">
        <x:v>Yes</x:v>
      </x:c>
      <x:c r="K168" s="9" t="n">
        <x:v>20</x:v>
      </x:c>
      <x:c r="L168" s="9" t="n">
        <x:v>20</x:v>
      </x:c>
      <x:c r="M168" s="9" t="n">
        <x:v>45</x:v>
      </x:c>
    </x:row>
    <x:row r="169">
      <x:c r="A169" s="7" t="n">
        <x:v>3398</x:v>
      </x:c>
      <x:c r="B169" s="7" t="str">
        <x:v>Eduardo Costa</x:v>
      </x:c>
      <x:c r="C169" s="7" t="str">
        <x:v>Standard</x:v>
      </x:c>
      <x:c r="D169" s="8" t="n">
        <x:v>45515</x:v>
      </x:c>
      <x:c r="E169" s="7" t="str">
        <x:v>Yes</x:v>
      </x:c>
      <x:c r="F169" s="9" t="n">
        <x:v>10</x:v>
      </x:c>
      <x:c r="G169" s="7" t="str">
        <x:v>Quarterly</x:v>
      </x:c>
      <x:c r="H169" s="7" t="str">
        <x:v>No</x:v>
      </x:c>
      <x:c r="I169" s="9" t="str">
        <x:v>-</x:v>
      </x:c>
      <x:c r="J169" s="7" t="str">
        <x:v>Yes</x:v>
      </x:c>
      <x:c r="K169" s="9" t="n">
        <x:v>20</x:v>
      </x:c>
      <x:c r="L169" s="9" t="n">
        <x:v>15</x:v>
      </x:c>
      <x:c r="M169" s="9" t="n">
        <x:v>15</x:v>
      </x:c>
    </x:row>
    <x:row r="170">
      <x:c r="A170" s="7" t="n">
        <x:v>3399</x:v>
      </x:c>
      <x:c r="B170" s="7" t="str">
        <x:v>Fernanda Gomes</x:v>
      </x:c>
      <x:c r="C170" s="7" t="str">
        <x:v>Core</x:v>
      </x:c>
      <x:c r="D170" s="8" t="n">
        <x:v>45516</x:v>
      </x:c>
      <x:c r="E170" s="7" t="str">
        <x:v>No</x:v>
      </x:c>
      <x:c r="F170" s="9" t="n">
        <x:v>5</x:v>
      </x:c>
      <x:c r="G170" s="7" t="str">
        <x:v>Monthly</x:v>
      </x:c>
      <x:c r="H170" s="7" t="str">
        <x:v>No</x:v>
      </x:c>
      <x:c r="I170" s="9" t="str">
        <x:v>-</x:v>
      </x:c>
      <x:c r="J170" s="7" t="str">
        <x:v>No</x:v>
      </x:c>
      <x:c r="K170" s="9" t="n">
        <x:v>0</x:v>
      </x:c>
      <x:c r="L170" s="9" t="n">
        <x:v>1</x:v>
      </x:c>
      <x:c r="M170" s="9" t="n">
        <x:v>4</x:v>
      </x:c>
    </x:row>
    <x:row r="171">
      <x:c r="A171" s="7" t="n">
        <x:v>3400</x:v>
      </x:c>
      <x:c r="B171" s="7" t="str">
        <x:v>Guilherme Souza</x:v>
      </x:c>
      <x:c r="C171" s="7" t="str">
        <x:v>Ultimate</x:v>
      </x:c>
      <x:c r="D171" s="8" t="n">
        <x:v>45517</x:v>
      </x:c>
      <x:c r="E171" s="7" t="str">
        <x:v>Yes</x:v>
      </x:c>
      <x:c r="F171" s="9" t="n">
        <x:v>15</x:v>
      </x:c>
      <x:c r="G171" s="7" t="str">
        <x:v>Annual</x:v>
      </x:c>
      <x:c r="H171" s="7" t="str">
        <x:v>Yes</x:v>
      </x:c>
      <x:c r="I171" s="9" t="n">
        <x:v>30</x:v>
      </x:c>
      <x:c r="J171" s="7" t="str">
        <x:v>Yes</x:v>
      </x:c>
      <x:c r="K171" s="9" t="n">
        <x:v>20</x:v>
      </x:c>
      <x:c r="L171" s="9" t="n">
        <x:v>5</x:v>
      </x:c>
      <x:c r="M171" s="9" t="n">
        <x:v>60</x:v>
      </x:c>
    </x:row>
    <x:row r="172">
      <x:c r="A172" s="7" t="n">
        <x:v>3401</x:v>
      </x:c>
      <x:c r="B172" s="7" t="str">
        <x:v>Helena Ribeiro</x:v>
      </x:c>
      <x:c r="C172" s="7" t="str">
        <x:v>Standard</x:v>
      </x:c>
      <x:c r="D172" s="8" t="n">
        <x:v>45518</x:v>
      </x:c>
      <x:c r="E172" s="7" t="str">
        <x:v>No</x:v>
      </x:c>
      <x:c r="F172" s="9" t="n">
        <x:v>10</x:v>
      </x:c>
      <x:c r="G172" s="7" t="str">
        <x:v>Monthly</x:v>
      </x:c>
      <x:c r="H172" s="7" t="str">
        <x:v>No</x:v>
      </x:c>
      <x:c r="I172" s="9" t="str">
        <x:v>-</x:v>
      </x:c>
      <x:c r="J172" s="7" t="str">
        <x:v>Yes</x:v>
      </x:c>
      <x:c r="K172" s="9" t="n">
        <x:v>20</x:v>
      </x:c>
      <x:c r="L172" s="9" t="n">
        <x:v>10</x:v>
      </x:c>
      <x:c r="M172" s="9" t="n">
        <x:v>20</x:v>
      </x:c>
    </x:row>
    <x:row r="173">
      <x:c r="A173" s="7" t="n">
        <x:v>3402</x:v>
      </x:c>
      <x:c r="B173" s="7" t="str">
        <x:v>Igor Santos</x:v>
      </x:c>
      <x:c r="C173" s="7" t="str">
        <x:v>Core</x:v>
      </x:c>
      <x:c r="D173" s="8" t="n">
        <x:v>45519</x:v>
      </x:c>
      <x:c r="E173" s="7" t="str">
        <x:v>Yes</x:v>
      </x:c>
      <x:c r="F173" s="9" t="n">
        <x:v>5</x:v>
      </x:c>
      <x:c r="G173" s="7" t="str">
        <x:v>Quarterly</x:v>
      </x:c>
      <x:c r="H173" s="7" t="str">
        <x:v>No</x:v>
      </x:c>
      <x:c r="I173" s="9" t="str">
        <x:v>-</x:v>
      </x:c>
      <x:c r="J173" s="7" t="str">
        <x:v>No</x:v>
      </x:c>
      <x:c r="K173" s="9" t="n">
        <x:v>0</x:v>
      </x:c>
      <x:c r="L173" s="9" t="n">
        <x:v>0</x:v>
      </x:c>
      <x:c r="M173" s="9" t="n">
        <x:v>5</x:v>
      </x:c>
    </x:row>
    <x:row r="174">
      <x:c r="A174" s="7" t="n">
        <x:v>3403</x:v>
      </x:c>
      <x:c r="B174" s="7" t="str">
        <x:v>João Carvalho</x:v>
      </x:c>
      <x:c r="C174" s="7" t="str">
        <x:v>Ultimate</x:v>
      </x:c>
      <x:c r="D174" s="8" t="n">
        <x:v>45520</x:v>
      </x:c>
      <x:c r="E174" s="7" t="str">
        <x:v>No</x:v>
      </x:c>
      <x:c r="F174" s="9" t="n">
        <x:v>15</x:v>
      </x:c>
      <x:c r="G174" s="7" t="str">
        <x:v>Monthly</x:v>
      </x:c>
      <x:c r="H174" s="7" t="str">
        <x:v>Yes</x:v>
      </x:c>
      <x:c r="I174" s="9" t="n">
        <x:v>30</x:v>
      </x:c>
      <x:c r="J174" s="7" t="str">
        <x:v>Yes</x:v>
      </x:c>
      <x:c r="K174" s="9" t="n">
        <x:v>20</x:v>
      </x:c>
      <x:c r="L174" s="9" t="n">
        <x:v>3</x:v>
      </x:c>
      <x:c r="M174" s="9" t="n">
        <x:v>62</x:v>
      </x:c>
    </x:row>
    <x:row r="175">
      <x:c r="A175" s="7" t="n">
        <x:v>3404</x:v>
      </x:c>
      <x:c r="B175" s="7" t="str">
        <x:v>Klara Fagundes</x:v>
      </x:c>
      <x:c r="C175" s="7" t="str">
        <x:v>Standard</x:v>
      </x:c>
      <x:c r="D175" s="8" t="n">
        <x:v>45521</x:v>
      </x:c>
      <x:c r="E175" s="7" t="str">
        <x:v>Yes</x:v>
      </x:c>
      <x:c r="F175" s="9" t="n">
        <x:v>10</x:v>
      </x:c>
      <x:c r="G175" s="7" t="str">
        <x:v>Annual</x:v>
      </x:c>
      <x:c r="H175" s="7" t="str">
        <x:v>No</x:v>
      </x:c>
      <x:c r="I175" s="9" t="str">
        <x:v>-</x:v>
      </x:c>
      <x:c r="J175" s="7" t="str">
        <x:v>Yes</x:v>
      </x:c>
      <x:c r="K175" s="9" t="n">
        <x:v>20</x:v>
      </x:c>
      <x:c r="L175" s="9" t="n">
        <x:v>15</x:v>
      </x:c>
      <x:c r="M175" s="9" t="n">
        <x:v>15</x:v>
      </x:c>
    </x:row>
    <x:row r="176">
      <x:c r="A176" s="7" t="n">
        <x:v>3405</x:v>
      </x:c>
      <x:c r="B176" s="7" t="str">
        <x:v>Lúcia Mendonça</x:v>
      </x:c>
      <x:c r="C176" s="7" t="str">
        <x:v>Core</x:v>
      </x:c>
      <x:c r="D176" s="8" t="n">
        <x:v>45522</x:v>
      </x:c>
      <x:c r="E176" s="7" t="str">
        <x:v>No</x:v>
      </x:c>
      <x:c r="F176" s="9" t="n">
        <x:v>5</x:v>
      </x:c>
      <x:c r="G176" s="7" t="str">
        <x:v>Monthly</x:v>
      </x:c>
      <x:c r="H176" s="7" t="str">
        <x:v>No</x:v>
      </x:c>
      <x:c r="I176" s="9" t="str">
        <x:v>-</x:v>
      </x:c>
      <x:c r="J176" s="7" t="str">
        <x:v>No</x:v>
      </x:c>
      <x:c r="K176" s="9" t="n">
        <x:v>0</x:v>
      </x:c>
      <x:c r="L176" s="9" t="n">
        <x:v>1</x:v>
      </x:c>
      <x:c r="M176" s="9" t="n">
        <x:v>4</x:v>
      </x:c>
    </x:row>
    <x:row r="177">
      <x:c r="A177" s="7" t="n">
        <x:v>3406</x:v>
      </x:c>
      <x:c r="B177" s="7" t="str">
        <x:v>Marcelo Novaes</x:v>
      </x:c>
      <x:c r="C177" s="7" t="str">
        <x:v>Core</x:v>
      </x:c>
      <x:c r="D177" s="8" t="n">
        <x:v>45523</x:v>
      </x:c>
      <x:c r="E177" s="7" t="str">
        <x:v>Yes</x:v>
      </x:c>
      <x:c r="F177" s="9" t="n">
        <x:v>5</x:v>
      </x:c>
      <x:c r="G177" s="7" t="str">
        <x:v>Monthly</x:v>
      </x:c>
      <x:c r="H177" s="7" t="str">
        <x:v>No</x:v>
      </x:c>
      <x:c r="I177" s="9" t="str">
        <x:v>-</x:v>
      </x:c>
      <x:c r="J177" s="7" t="str">
        <x:v>No</x:v>
      </x:c>
      <x:c r="K177" s="9" t="n">
        <x:v>0</x:v>
      </x:c>
      <x:c r="L177" s="9" t="n">
        <x:v>0</x:v>
      </x:c>
      <x:c r="M177" s="9" t="n">
        <x:v>5</x:v>
      </x:c>
    </x:row>
    <x:row r="178">
      <x:c r="A178" s="7" t="n">
        <x:v>3407</x:v>
      </x:c>
      <x:c r="B178" s="7" t="str">
        <x:v>Nina Pacheco</x:v>
      </x:c>
      <x:c r="C178" s="7" t="str">
        <x:v>Ultimate</x:v>
      </x:c>
      <x:c r="D178" s="8" t="n">
        <x:v>45524</x:v>
      </x:c>
      <x:c r="E178" s="7" t="str">
        <x:v>No</x:v>
      </x:c>
      <x:c r="F178" s="9" t="n">
        <x:v>15</x:v>
      </x:c>
      <x:c r="G178" s="7" t="str">
        <x:v>Quarterly</x:v>
      </x:c>
      <x:c r="H178" s="7" t="str">
        <x:v>Yes</x:v>
      </x:c>
      <x:c r="I178" s="9" t="n">
        <x:v>30</x:v>
      </x:c>
      <x:c r="J178" s="7" t="str">
        <x:v>Yes</x:v>
      </x:c>
      <x:c r="K178" s="9" t="n">
        <x:v>20</x:v>
      </x:c>
      <x:c r="L178" s="9" t="n">
        <x:v>7</x:v>
      </x:c>
      <x:c r="M178" s="9" t="n">
        <x:v>58</x:v>
      </x:c>
    </x:row>
    <x:row r="179">
      <x:c r="A179" s="7" t="n">
        <x:v>3408</x:v>
      </x:c>
      <x:c r="B179" s="7" t="str">
        <x:v>Olívia Rios</x:v>
      </x:c>
      <x:c r="C179" s="7" t="str">
        <x:v>Standard</x:v>
      </x:c>
      <x:c r="D179" s="8" t="n">
        <x:v>45525</x:v>
      </x:c>
      <x:c r="E179" s="7" t="str">
        <x:v>Yes</x:v>
      </x:c>
      <x:c r="F179" s="9" t="n">
        <x:v>10</x:v>
      </x:c>
      <x:c r="G179" s="7" t="str">
        <x:v>Annual</x:v>
      </x:c>
      <x:c r="H179" s="7" t="str">
        <x:v>No</x:v>
      </x:c>
      <x:c r="I179" s="9" t="str">
        <x:v>-</x:v>
      </x:c>
      <x:c r="J179" s="7" t="str">
        <x:v>Yes</x:v>
      </x:c>
      <x:c r="K179" s="9" t="n">
        <x:v>20</x:v>
      </x:c>
      <x:c r="L179" s="9" t="n">
        <x:v>10</x:v>
      </x:c>
      <x:c r="M179" s="9" t="n">
        <x:v>20</x:v>
      </x:c>
    </x:row>
    <x:row r="180">
      <x:c r="A180" s="7" t="n">
        <x:v>3409</x:v>
      </x:c>
      <x:c r="B180" s="7" t="str">
        <x:v>Paulo Quintana</x:v>
      </x:c>
      <x:c r="C180" s="7" t="str">
        <x:v>Core</x:v>
      </x:c>
      <x:c r="D180" s="8" t="n">
        <x:v>45526</x:v>
      </x:c>
      <x:c r="E180" s="7" t="str">
        <x:v>No</x:v>
      </x:c>
      <x:c r="F180" s="9" t="n">
        <x:v>5</x:v>
      </x:c>
      <x:c r="G180" s="7" t="str">
        <x:v>Quarterly</x:v>
      </x:c>
      <x:c r="H180" s="7" t="str">
        <x:v>No</x:v>
      </x:c>
      <x:c r="I180" s="9" t="str">
        <x:v>-</x:v>
      </x:c>
      <x:c r="J180" s="7" t="str">
        <x:v>No</x:v>
      </x:c>
      <x:c r="K180" s="9" t="n">
        <x:v>0</x:v>
      </x:c>
      <x:c r="L180" s="9" t="n">
        <x:v>1</x:v>
      </x:c>
      <x:c r="M180" s="9" t="n">
        <x:v>4</x:v>
      </x:c>
    </x:row>
    <x:row r="181">
      <x:c r="A181" s="7" t="n">
        <x:v>3410</x:v>
      </x:c>
      <x:c r="B181" s="7" t="str">
        <x:v>Raquel Domingos</x:v>
      </x:c>
      <x:c r="C181" s="7" t="str">
        <x:v>Ultimate</x:v>
      </x:c>
      <x:c r="D181" s="8" t="n">
        <x:v>45527</x:v>
      </x:c>
      <x:c r="E181" s="7" t="str">
        <x:v>Yes</x:v>
      </x:c>
      <x:c r="F181" s="9" t="n">
        <x:v>15</x:v>
      </x:c>
      <x:c r="G181" s="7" t="str">
        <x:v>Monthly</x:v>
      </x:c>
      <x:c r="H181" s="7" t="str">
        <x:v>Yes</x:v>
      </x:c>
      <x:c r="I181" s="9" t="n">
        <x:v>30</x:v>
      </x:c>
      <x:c r="J181" s="7" t="str">
        <x:v>Yes</x:v>
      </x:c>
      <x:c r="K181" s="9" t="n">
        <x:v>20</x:v>
      </x:c>
      <x:c r="L181" s="9" t="n">
        <x:v>15</x:v>
      </x:c>
      <x:c r="M181" s="9" t="n">
        <x:v>50</x:v>
      </x:c>
    </x:row>
    <x:row r="182">
      <x:c r="A182" s="7" t="n">
        <x:v>3411</x:v>
      </x:c>
      <x:c r="B182" s="7" t="str">
        <x:v>Samuel Viana</x:v>
      </x:c>
      <x:c r="C182" s="7" t="str">
        <x:v>Standard</x:v>
      </x:c>
      <x:c r="D182" s="8" t="n">
        <x:v>45528</x:v>
      </x:c>
      <x:c r="E182" s="7" t="str">
        <x:v>No</x:v>
      </x:c>
      <x:c r="F182" s="9" t="n">
        <x:v>10</x:v>
      </x:c>
      <x:c r="G182" s="7" t="str">
        <x:v>Monthly</x:v>
      </x:c>
      <x:c r="H182" s="7" t="str">
        <x:v>No</x:v>
      </x:c>
      <x:c r="I182" s="9" t="str">
        <x:v>-</x:v>
      </x:c>
      <x:c r="J182" s="7" t="str">
        <x:v>Yes</x:v>
      </x:c>
      <x:c r="K182" s="9" t="n">
        <x:v>20</x:v>
      </x:c>
      <x:c r="L182" s="9" t="n">
        <x:v>5</x:v>
      </x:c>
      <x:c r="M182" s="9" t="n">
        <x:v>25</x:v>
      </x:c>
    </x:row>
    <x:row r="183">
      <x:c r="A183" s="7" t="n">
        <x:v>3412</x:v>
      </x:c>
      <x:c r="B183" s="7" t="str">
        <x:v>Tatiane Rocha</x:v>
      </x:c>
      <x:c r="C183" s="7" t="str">
        <x:v>Core</x:v>
      </x:c>
      <x:c r="D183" s="8" t="n">
        <x:v>45529</x:v>
      </x:c>
      <x:c r="E183" s="7" t="str">
        <x:v>Yes</x:v>
      </x:c>
      <x:c r="F183" s="9" t="n">
        <x:v>5</x:v>
      </x:c>
      <x:c r="G183" s="7" t="str">
        <x:v>Annual</x:v>
      </x:c>
      <x:c r="H183" s="7" t="str">
        <x:v>No</x:v>
      </x:c>
      <x:c r="I183" s="9" t="str">
        <x:v>-</x:v>
      </x:c>
      <x:c r="J183" s="7" t="str">
        <x:v>No</x:v>
      </x:c>
      <x:c r="K183" s="9" t="n">
        <x:v>0</x:v>
      </x:c>
      <x:c r="L183" s="9" t="n">
        <x:v>0</x:v>
      </x:c>
      <x:c r="M183" s="9" t="n">
        <x:v>5</x:v>
      </x:c>
    </x:row>
    <x:row r="184">
      <x:c r="A184" s="7" t="n">
        <x:v>3413</x:v>
      </x:c>
      <x:c r="B184" s="7" t="str">
        <x:v>Ulysses Farias</x:v>
      </x:c>
      <x:c r="C184" s="7" t="str">
        <x:v>Ultimate</x:v>
      </x:c>
      <x:c r="D184" s="8" t="n">
        <x:v>45530</x:v>
      </x:c>
      <x:c r="E184" s="7" t="str">
        <x:v>No</x:v>
      </x:c>
      <x:c r="F184" s="9" t="n">
        <x:v>15</x:v>
      </x:c>
      <x:c r="G184" s="7" t="str">
        <x:v>Quarterly</x:v>
      </x:c>
      <x:c r="H184" s="7" t="str">
        <x:v>Yes</x:v>
      </x:c>
      <x:c r="I184" s="9" t="n">
        <x:v>30</x:v>
      </x:c>
      <x:c r="J184" s="7" t="str">
        <x:v>Yes</x:v>
      </x:c>
      <x:c r="K184" s="9" t="n">
        <x:v>20</x:v>
      </x:c>
      <x:c r="L184" s="9" t="n">
        <x:v>20</x:v>
      </x:c>
      <x:c r="M184" s="9" t="n">
        <x:v>45</x:v>
      </x:c>
    </x:row>
    <x:row r="185">
      <x:c r="A185" s="7" t="n">
        <x:v>3414</x:v>
      </x:c>
      <x:c r="B185" s="7" t="str">
        <x:v>Vanessa Moreira</x:v>
      </x:c>
      <x:c r="C185" s="7" t="str">
        <x:v>Standard</x:v>
      </x:c>
      <x:c r="D185" s="8" t="n">
        <x:v>45531</x:v>
      </x:c>
      <x:c r="E185" s="7" t="str">
        <x:v>Yes</x:v>
      </x:c>
      <x:c r="F185" s="9" t="n">
        <x:v>10</x:v>
      </x:c>
      <x:c r="G185" s="7" t="str">
        <x:v>Quarterly</x:v>
      </x:c>
      <x:c r="H185" s="7" t="str">
        <x:v>No</x:v>
      </x:c>
      <x:c r="I185" s="9" t="str">
        <x:v>-</x:v>
      </x:c>
      <x:c r="J185" s="7" t="str">
        <x:v>Yes</x:v>
      </x:c>
      <x:c r="K185" s="9" t="n">
        <x:v>20</x:v>
      </x:c>
      <x:c r="L185" s="9" t="n">
        <x:v>12</x:v>
      </x:c>
      <x:c r="M185" s="9" t="n">
        <x:v>18</x:v>
      </x:c>
    </x:row>
    <x:row r="186">
      <x:c r="A186" s="7" t="n">
        <x:v>3415</x:v>
      </x:c>
      <x:c r="B186" s="7" t="str">
        <x:v>William Carvalho</x:v>
      </x:c>
      <x:c r="C186" s="7" t="str">
        <x:v>Core</x:v>
      </x:c>
      <x:c r="D186" s="8" t="n">
        <x:v>45532</x:v>
      </x:c>
      <x:c r="E186" s="7" t="str">
        <x:v>No</x:v>
      </x:c>
      <x:c r="F186" s="9" t="n">
        <x:v>5</x:v>
      </x:c>
      <x:c r="G186" s="7" t="str">
        <x:v>Monthly</x:v>
      </x:c>
      <x:c r="H186" s="7" t="str">
        <x:v>No</x:v>
      </x:c>
      <x:c r="I186" s="9" t="str">
        <x:v>-</x:v>
      </x:c>
      <x:c r="J186" s="7" t="str">
        <x:v>No</x:v>
      </x:c>
      <x:c r="K186" s="9" t="n">
        <x:v>0</x:v>
      </x:c>
      <x:c r="L186" s="9" t="n">
        <x:v>2</x:v>
      </x:c>
      <x:c r="M186" s="9" t="n">
        <x:v>3</x:v>
      </x:c>
    </x:row>
    <x:row r="187">
      <x:c r="A187" s="7" t="n">
        <x:v>3416</x:v>
      </x:c>
      <x:c r="B187" s="7" t="str">
        <x:v>Ximena Barros</x:v>
      </x:c>
      <x:c r="C187" s="7" t="str">
        <x:v>Ultimate</x:v>
      </x:c>
      <x:c r="D187" s="8" t="n">
        <x:v>45533</x:v>
      </x:c>
      <x:c r="E187" s="7" t="str">
        <x:v>Yes</x:v>
      </x:c>
      <x:c r="F187" s="9" t="n">
        <x:v>15</x:v>
      </x:c>
      <x:c r="G187" s="7" t="str">
        <x:v>Annual</x:v>
      </x:c>
      <x:c r="H187" s="7" t="str">
        <x:v>Yes</x:v>
      </x:c>
      <x:c r="I187" s="9" t="n">
        <x:v>30</x:v>
      </x:c>
      <x:c r="J187" s="7" t="str">
        <x:v>Yes</x:v>
      </x:c>
      <x:c r="K187" s="9" t="n">
        <x:v>20</x:v>
      </x:c>
      <x:c r="L187" s="9" t="n">
        <x:v>5</x:v>
      </x:c>
      <x:c r="M187" s="9" t="n">
        <x:v>60</x:v>
      </x:c>
    </x:row>
    <x:row r="188">
      <x:c r="A188" s="7" t="n">
        <x:v>3417</x:v>
      </x:c>
      <x:c r="B188" s="7" t="str">
        <x:v>Yara Machado</x:v>
      </x:c>
      <x:c r="C188" s="7" t="str">
        <x:v>Standard</x:v>
      </x:c>
      <x:c r="D188" s="8" t="n">
        <x:v>45534</x:v>
      </x:c>
      <x:c r="E188" s="7" t="str">
        <x:v>No</x:v>
      </x:c>
      <x:c r="F188" s="9" t="n">
        <x:v>10</x:v>
      </x:c>
      <x:c r="G188" s="7" t="str">
        <x:v>Monthly</x:v>
      </x:c>
      <x:c r="H188" s="7" t="str">
        <x:v>No</x:v>
      </x:c>
      <x:c r="I188" s="9" t="str">
        <x:v>-</x:v>
      </x:c>
      <x:c r="J188" s="7" t="str">
        <x:v>Yes</x:v>
      </x:c>
      <x:c r="K188" s="9" t="n">
        <x:v>20</x:v>
      </x:c>
      <x:c r="L188" s="9" t="n">
        <x:v>10</x:v>
      </x:c>
      <x:c r="M188" s="9" t="n">
        <x:v>20</x:v>
      </x:c>
    </x:row>
    <x:row r="189">
      <x:c r="A189" s="7" t="n">
        <x:v>3418</x:v>
      </x:c>
      <x:c r="B189" s="7" t="str">
        <x:v>Zacarias Costa</x:v>
      </x:c>
      <x:c r="C189" s="7" t="str">
        <x:v>Core</x:v>
      </x:c>
      <x:c r="D189" s="8" t="n">
        <x:v>45535</x:v>
      </x:c>
      <x:c r="E189" s="7" t="str">
        <x:v>Yes</x:v>
      </x:c>
      <x:c r="F189" s="9" t="n">
        <x:v>5</x:v>
      </x:c>
      <x:c r="G189" s="7" t="str">
        <x:v>Quarterly</x:v>
      </x:c>
      <x:c r="H189" s="7" t="str">
        <x:v>No</x:v>
      </x:c>
      <x:c r="I189" s="9" t="str">
        <x:v>-</x:v>
      </x:c>
      <x:c r="J189" s="7" t="str">
        <x:v>No</x:v>
      </x:c>
      <x:c r="K189" s="9" t="n">
        <x:v>0</x:v>
      </x:c>
      <x:c r="L189" s="9" t="n">
        <x:v>0</x:v>
      </x:c>
      <x:c r="M189" s="9" t="n">
        <x:v>5</x:v>
      </x:c>
    </x:row>
    <x:row r="190">
      <x:c r="A190" s="7" t="n">
        <x:v>3419</x:v>
      </x:c>
      <x:c r="B190" s="7" t="str">
        <x:v>André Lopes</x:v>
      </x:c>
      <x:c r="C190" s="7" t="str">
        <x:v>Ultimate</x:v>
      </x:c>
      <x:c r="D190" s="8" t="n">
        <x:v>45536</x:v>
      </x:c>
      <x:c r="E190" s="7" t="str">
        <x:v>No</x:v>
      </x:c>
      <x:c r="F190" s="9" t="n">
        <x:v>15</x:v>
      </x:c>
      <x:c r="G190" s="7" t="str">
        <x:v>Monthly</x:v>
      </x:c>
      <x:c r="H190" s="7" t="str">
        <x:v>Yes</x:v>
      </x:c>
      <x:c r="I190" s="9" t="n">
        <x:v>30</x:v>
      </x:c>
      <x:c r="J190" s="7" t="str">
        <x:v>Yes</x:v>
      </x:c>
      <x:c r="K190" s="9" t="n">
        <x:v>20</x:v>
      </x:c>
      <x:c r="L190" s="9" t="n">
        <x:v>3</x:v>
      </x:c>
      <x:c r="M190" s="9" t="n">
        <x:v>62</x:v>
      </x:c>
    </x:row>
    <x:row r="191">
      <x:c r="A191" s="7" t="n">
        <x:v>3420</x:v>
      </x:c>
      <x:c r="B191" s="7" t="str">
        <x:v>Beatriz Souza</x:v>
      </x:c>
      <x:c r="C191" s="7" t="str">
        <x:v>Standard</x:v>
      </x:c>
      <x:c r="D191" s="8" t="n">
        <x:v>45537</x:v>
      </x:c>
      <x:c r="E191" s="7" t="str">
        <x:v>Yes</x:v>
      </x:c>
      <x:c r="F191" s="9" t="n">
        <x:v>10</x:v>
      </x:c>
      <x:c r="G191" s="7" t="str">
        <x:v>Annual</x:v>
      </x:c>
      <x:c r="H191" s="7" t="str">
        <x:v>No</x:v>
      </x:c>
      <x:c r="I191" s="9" t="str">
        <x:v>-</x:v>
      </x:c>
      <x:c r="J191" s="7" t="str">
        <x:v>Yes</x:v>
      </x:c>
      <x:c r="K191" s="9" t="n">
        <x:v>20</x:v>
      </x:c>
      <x:c r="L191" s="9" t="n">
        <x:v>15</x:v>
      </x:c>
      <x:c r="M191" s="9" t="n">
        <x:v>15</x:v>
      </x:c>
    </x:row>
    <x:row r="192">
      <x:c r="A192" s="7" t="n">
        <x:v>3421</x:v>
      </x:c>
      <x:c r="B192" s="7" t="str">
        <x:v>Caio Pereira</x:v>
      </x:c>
      <x:c r="C192" s="7" t="str">
        <x:v>Core</x:v>
      </x:c>
      <x:c r="D192" s="8" t="n">
        <x:v>45538</x:v>
      </x:c>
      <x:c r="E192" s="7" t="str">
        <x:v>No</x:v>
      </x:c>
      <x:c r="F192" s="9" t="n">
        <x:v>5</x:v>
      </x:c>
      <x:c r="G192" s="7" t="str">
        <x:v>Monthly</x:v>
      </x:c>
      <x:c r="H192" s="7" t="str">
        <x:v>No</x:v>
      </x:c>
      <x:c r="I192" s="9" t="str">
        <x:v>-</x:v>
      </x:c>
      <x:c r="J192" s="7" t="str">
        <x:v>No</x:v>
      </x:c>
      <x:c r="K192" s="9" t="n">
        <x:v>0</x:v>
      </x:c>
      <x:c r="L192" s="9" t="n">
        <x:v>1</x:v>
      </x:c>
      <x:c r="M192" s="9" t="n">
        <x:v>4</x:v>
      </x:c>
    </x:row>
    <x:row r="193">
      <x:c r="A193" s="7" t="n">
        <x:v>3422</x:v>
      </x:c>
      <x:c r="B193" s="7" t="str">
        <x:v>Daniela Araújo</x:v>
      </x:c>
      <x:c r="C193" s="7" t="str">
        <x:v>Ultimate</x:v>
      </x:c>
      <x:c r="D193" s="8" t="n">
        <x:v>45539</x:v>
      </x:c>
      <x:c r="E193" s="7" t="str">
        <x:v>Yes</x:v>
      </x:c>
      <x:c r="F193" s="9" t="n">
        <x:v>15</x:v>
      </x:c>
      <x:c r="G193" s="7" t="str">
        <x:v>Quarterly</x:v>
      </x:c>
      <x:c r="H193" s="7" t="str">
        <x:v>Yes</x:v>
      </x:c>
      <x:c r="I193" s="9" t="n">
        <x:v>30</x:v>
      </x:c>
      <x:c r="J193" s="7" t="str">
        <x:v>Yes</x:v>
      </x:c>
      <x:c r="K193" s="9" t="n">
        <x:v>20</x:v>
      </x:c>
      <x:c r="L193" s="9" t="n">
        <x:v>7</x:v>
      </x:c>
      <x:c r="M193" s="9" t="n">
        <x:v>58</x:v>
      </x:c>
    </x:row>
    <x:row r="194">
      <x:c r="A194" s="7" t="n">
        <x:v>3423</x:v>
      </x:c>
      <x:c r="B194" s="7" t="str">
        <x:v>Eduardo Santos</x:v>
      </x:c>
      <x:c r="C194" s="7" t="str">
        <x:v>Standard</x:v>
      </x:c>
      <x:c r="D194" s="8" t="n">
        <x:v>45540</x:v>
      </x:c>
      <x:c r="E194" s="7" t="str">
        <x:v>No</x:v>
      </x:c>
      <x:c r="F194" s="9" t="n">
        <x:v>10</x:v>
      </x:c>
      <x:c r="G194" s="7" t="str">
        <x:v>Monthly</x:v>
      </x:c>
      <x:c r="H194" s="7" t="str">
        <x:v>No</x:v>
      </x:c>
      <x:c r="I194" s="9" t="str">
        <x:v>-</x:v>
      </x:c>
      <x:c r="J194" s="7" t="str">
        <x:v>Yes</x:v>
      </x:c>
      <x:c r="K194" s="9" t="n">
        <x:v>20</x:v>
      </x:c>
      <x:c r="L194" s="9" t="n">
        <x:v>10</x:v>
      </x:c>
      <x:c r="M194" s="9" t="n">
        <x:v>20</x:v>
      </x:c>
    </x:row>
    <x:row r="195">
      <x:c r="A195" s="7" t="n">
        <x:v>3424</x:v>
      </x:c>
      <x:c r="B195" s="7" t="str">
        <x:v>Fernanda Lima</x:v>
      </x:c>
      <x:c r="C195" s="7" t="str">
        <x:v>Core</x:v>
      </x:c>
      <x:c r="D195" s="8" t="n">
        <x:v>45541</x:v>
      </x:c>
      <x:c r="E195" s="7" t="str">
        <x:v>Yes</x:v>
      </x:c>
      <x:c r="F195" s="9" t="n">
        <x:v>5</x:v>
      </x:c>
      <x:c r="G195" s="7" t="str">
        <x:v>Annual</x:v>
      </x:c>
      <x:c r="H195" s="7" t="str">
        <x:v>No</x:v>
      </x:c>
      <x:c r="I195" s="9" t="str">
        <x:v>-</x:v>
      </x:c>
      <x:c r="J195" s="7" t="str">
        <x:v>No</x:v>
      </x:c>
      <x:c r="K195" s="9" t="n">
        <x:v>0</x:v>
      </x:c>
      <x:c r="L195" s="9" t="n">
        <x:v>0</x:v>
      </x:c>
      <x:c r="M195" s="9" t="n">
        <x:v>5</x:v>
      </x:c>
    </x:row>
    <x:row r="196">
      <x:c r="A196" s="7" t="n">
        <x:v>3425</x:v>
      </x:c>
      <x:c r="B196" s="7" t="str">
        <x:v>Gabriel Teixeira</x:v>
      </x:c>
      <x:c r="C196" s="7" t="str">
        <x:v>Ultimate</x:v>
      </x:c>
      <x:c r="D196" s="8" t="n">
        <x:v>45542</x:v>
      </x:c>
      <x:c r="E196" s="7" t="str">
        <x:v>No</x:v>
      </x:c>
      <x:c r="F196" s="9" t="n">
        <x:v>15</x:v>
      </x:c>
      <x:c r="G196" s="7" t="str">
        <x:v>Monthly</x:v>
      </x:c>
      <x:c r="H196" s="7" t="str">
        <x:v>Yes</x:v>
      </x:c>
      <x:c r="I196" s="9" t="n">
        <x:v>30</x:v>
      </x:c>
      <x:c r="J196" s="7" t="str">
        <x:v>Yes</x:v>
      </x:c>
      <x:c r="K196" s="9" t="n">
        <x:v>20</x:v>
      </x:c>
      <x:c r="L196" s="9" t="n">
        <x:v>20</x:v>
      </x:c>
      <x:c r="M196" s="9" t="n">
        <x:v>45</x:v>
      </x:c>
    </x:row>
    <x:row r="197">
      <x:c r="A197" s="7" t="n">
        <x:v>3426</x:v>
      </x:c>
      <x:c r="B197" s="7" t="str">
        <x:v>Helena Ribeiro</x:v>
      </x:c>
      <x:c r="C197" s="7" t="str">
        <x:v>Standard</x:v>
      </x:c>
      <x:c r="D197" s="8" t="n">
        <x:v>45543</x:v>
      </x:c>
      <x:c r="E197" s="7" t="str">
        <x:v>Yes</x:v>
      </x:c>
      <x:c r="F197" s="9" t="n">
        <x:v>10</x:v>
      </x:c>
      <x:c r="G197" s="7" t="str">
        <x:v>Quarterly</x:v>
      </x:c>
      <x:c r="H197" s="7" t="str">
        <x:v>No</x:v>
      </x:c>
      <x:c r="I197" s="9" t="str">
        <x:v>-</x:v>
      </x:c>
      <x:c r="J197" s="7" t="str">
        <x:v>Yes</x:v>
      </x:c>
      <x:c r="K197" s="9" t="n">
        <x:v>20</x:v>
      </x:c>
      <x:c r="L197" s="9" t="n">
        <x:v>15</x:v>
      </x:c>
      <x:c r="M197" s="9" t="n">
        <x:v>15</x:v>
      </x:c>
    </x:row>
    <x:row r="198">
      <x:c r="A198" s="7" t="n">
        <x:v>3427</x:v>
      </x:c>
      <x:c r="B198" s="7" t="str">
        <x:v>Igor Mendes</x:v>
      </x:c>
      <x:c r="C198" s="7" t="str">
        <x:v>Core</x:v>
      </x:c>
      <x:c r="D198" s="8" t="n">
        <x:v>45544</x:v>
      </x:c>
      <x:c r="E198" s="7" t="str">
        <x:v>No</x:v>
      </x:c>
      <x:c r="F198" s="9" t="n">
        <x:v>5</x:v>
      </x:c>
      <x:c r="G198" s="7" t="str">
        <x:v>Monthly</x:v>
      </x:c>
      <x:c r="H198" s="7" t="str">
        <x:v>No</x:v>
      </x:c>
      <x:c r="I198" s="9" t="str">
        <x:v>-</x:v>
      </x:c>
      <x:c r="J198" s="7" t="str">
        <x:v>No</x:v>
      </x:c>
      <x:c r="K198" s="9" t="n">
        <x:v>0</x:v>
      </x:c>
      <x:c r="L198" s="9" t="n">
        <x:v>1</x:v>
      </x:c>
      <x:c r="M198" s="9" t="n">
        <x:v>4</x:v>
      </x:c>
    </x:row>
    <x:row r="199">
      <x:c r="A199" s="7" t="n">
        <x:v>3428</x:v>
      </x:c>
      <x:c r="B199" s="7" t="str">
        <x:v>Joana Silveira</x:v>
      </x:c>
      <x:c r="C199" s="7" t="str">
        <x:v>Ultimate</x:v>
      </x:c>
      <x:c r="D199" s="8" t="n">
        <x:v>45545</x:v>
      </x:c>
      <x:c r="E199" s="7" t="str">
        <x:v>Yes</x:v>
      </x:c>
      <x:c r="F199" s="9" t="n">
        <x:v>15</x:v>
      </x:c>
      <x:c r="G199" s="7" t="str">
        <x:v>Annual</x:v>
      </x:c>
      <x:c r="H199" s="7" t="str">
        <x:v>Yes</x:v>
      </x:c>
      <x:c r="I199" s="9" t="n">
        <x:v>30</x:v>
      </x:c>
      <x:c r="J199" s="7" t="str">
        <x:v>Yes</x:v>
      </x:c>
      <x:c r="K199" s="9" t="n">
        <x:v>20</x:v>
      </x:c>
      <x:c r="L199" s="9" t="n">
        <x:v>3</x:v>
      </x:c>
      <x:c r="M199" s="9" t="n">
        <x:v>62</x:v>
      </x:c>
    </x:row>
    <x:row r="200">
      <x:c r="A200" s="7" t="n">
        <x:v>3429</x:v>
      </x:c>
      <x:c r="B200" s="7" t="str">
        <x:v>Lucas Martins</x:v>
      </x:c>
      <x:c r="C200" s="7" t="str">
        <x:v>Standard</x:v>
      </x:c>
      <x:c r="D200" s="8" t="n">
        <x:v>45546</x:v>
      </x:c>
      <x:c r="E200" s="7" t="str">
        <x:v>No</x:v>
      </x:c>
      <x:c r="F200" s="9" t="n">
        <x:v>10</x:v>
      </x:c>
      <x:c r="G200" s="7" t="str">
        <x:v>Monthly</x:v>
      </x:c>
      <x:c r="H200" s="7" t="str">
        <x:v>No</x:v>
      </x:c>
      <x:c r="I200" s="9" t="str">
        <x:v>-</x:v>
      </x:c>
      <x:c r="J200" s="7" t="str">
        <x:v>Yes</x:v>
      </x:c>
      <x:c r="K200" s="9" t="n">
        <x:v>20</x:v>
      </x:c>
      <x:c r="L200" s="9" t="n">
        <x:v>10</x:v>
      </x:c>
      <x:c r="M200" s="9" t="n">
        <x:v>20</x:v>
      </x:c>
    </x:row>
    <x:row r="201">
      <x:c r="A201" s="7" t="n">
        <x:v>3430</x:v>
      </x:c>
      <x:c r="B201" s="7" t="str">
        <x:v>Marcela Gouveia</x:v>
      </x:c>
      <x:c r="C201" s="7" t="str">
        <x:v>Core</x:v>
      </x:c>
      <x:c r="D201" s="8" t="n">
        <x:v>45547</x:v>
      </x:c>
      <x:c r="E201" s="7" t="str">
        <x:v>Yes</x:v>
      </x:c>
      <x:c r="F201" s="9" t="n">
        <x:v>5</x:v>
      </x:c>
      <x:c r="G201" s="7" t="str">
        <x:v>Quarterly</x:v>
      </x:c>
      <x:c r="H201" s="7" t="str">
        <x:v>No</x:v>
      </x:c>
      <x:c r="I201" s="9" t="str">
        <x:v>-</x:v>
      </x:c>
      <x:c r="J201" s="7" t="str">
        <x:v>No</x:v>
      </x:c>
      <x:c r="K201" s="9" t="n">
        <x:v>0</x:v>
      </x:c>
      <x:c r="L201" s="9" t="n">
        <x:v>0</x:v>
      </x:c>
      <x:c r="M201" s="9" t="n">
        <x:v>5</x:v>
      </x:c>
    </x:row>
    <x:row r="202">
      <x:c r="A202" s="7" t="n">
        <x:v>3431</x:v>
      </x:c>
      <x:c r="B202" s="7" t="str">
        <x:v>Nicolas Borges</x:v>
      </x:c>
      <x:c r="C202" s="7" t="str">
        <x:v>Ultimate</x:v>
      </x:c>
      <x:c r="D202" s="8" t="n">
        <x:v>45548</x:v>
      </x:c>
      <x:c r="E202" s="7" t="str">
        <x:v>No</x:v>
      </x:c>
      <x:c r="F202" s="9" t="n">
        <x:v>15</x:v>
      </x:c>
      <x:c r="G202" s="7" t="str">
        <x:v>Monthly</x:v>
      </x:c>
      <x:c r="H202" s="7" t="str">
        <x:v>Yes</x:v>
      </x:c>
      <x:c r="I202" s="9" t="n">
        <x:v>30</x:v>
      </x:c>
      <x:c r="J202" s="7" t="str">
        <x:v>Yes</x:v>
      </x:c>
      <x:c r="K202" s="9" t="n">
        <x:v>20</x:v>
      </x:c>
      <x:c r="L202" s="9" t="n">
        <x:v>15</x:v>
      </x:c>
      <x:c r="M202" s="9" t="n">
        <x:v>50</x:v>
      </x:c>
    </x:row>
    <x:row r="203">
      <x:c r="A203" s="7" t="n">
        <x:v>3432</x:v>
      </x:c>
      <x:c r="B203" s="7" t="str">
        <x:v>Olivia Freitas</x:v>
      </x:c>
      <x:c r="C203" s="7" t="str">
        <x:v>Standard</x:v>
      </x:c>
      <x:c r="D203" s="8" t="n">
        <x:v>45549</x:v>
      </x:c>
      <x:c r="E203" s="7" t="str">
        <x:v>Yes</x:v>
      </x:c>
      <x:c r="F203" s="9" t="n">
        <x:v>10</x:v>
      </x:c>
      <x:c r="G203" s="7" t="str">
        <x:v>Annual</x:v>
      </x:c>
      <x:c r="H203" s="7" t="str">
        <x:v>No</x:v>
      </x:c>
      <x:c r="I203" s="9" t="str">
        <x:v>-</x:v>
      </x:c>
      <x:c r="J203" s="7" t="str">
        <x:v>Yes</x:v>
      </x:c>
      <x:c r="K203" s="9" t="n">
        <x:v>20</x:v>
      </x:c>
      <x:c r="L203" s="9" t="n">
        <x:v>15</x:v>
      </x:c>
      <x:c r="M203" s="9" t="n">
        <x:v>15</x:v>
      </x:c>
    </x:row>
    <x:row r="204">
      <x:c r="A204" s="7" t="n">
        <x:v>3433</x:v>
      </x:c>
      <x:c r="B204" s="7" t="str">
        <x:v>Paulo Nogueira</x:v>
      </x:c>
      <x:c r="C204" s="7" t="str">
        <x:v>Core</x:v>
      </x:c>
      <x:c r="D204" s="8" t="n">
        <x:v>45550</x:v>
      </x:c>
      <x:c r="E204" s="7" t="str">
        <x:v>No</x:v>
      </x:c>
      <x:c r="F204" s="9" t="n">
        <x:v>5</x:v>
      </x:c>
      <x:c r="G204" s="7" t="str">
        <x:v>Monthly</x:v>
      </x:c>
      <x:c r="H204" s="7" t="str">
        <x:v>No</x:v>
      </x:c>
      <x:c r="I204" s="9" t="str">
        <x:v>-</x:v>
      </x:c>
      <x:c r="J204" s="7" t="str">
        <x:v>No</x:v>
      </x:c>
      <x:c r="K204" s="9" t="n">
        <x:v>0</x:v>
      </x:c>
      <x:c r="L204" s="9" t="n">
        <x:v>1</x:v>
      </x:c>
      <x:c r="M204" s="9" t="n">
        <x:v>4</x:v>
      </x:c>
    </x:row>
    <x:row r="205">
      <x:c r="A205" s="7" t="n">
        <x:v>3434</x:v>
      </x:c>
      <x:c r="B205" s="7" t="str">
        <x:v>Raquel Andrade</x:v>
      </x:c>
      <x:c r="C205" s="7" t="str">
        <x:v>Ultimate</x:v>
      </x:c>
      <x:c r="D205" s="8" t="n">
        <x:v>45551</x:v>
      </x:c>
      <x:c r="E205" s="7" t="str">
        <x:v>Yes</x:v>
      </x:c>
      <x:c r="F205" s="9" t="n">
        <x:v>15</x:v>
      </x:c>
      <x:c r="G205" s="7" t="str">
        <x:v>Quarterly</x:v>
      </x:c>
      <x:c r="H205" s="7" t="str">
        <x:v>Yes</x:v>
      </x:c>
      <x:c r="I205" s="9" t="n">
        <x:v>30</x:v>
      </x:c>
      <x:c r="J205" s="7" t="str">
        <x:v>Yes</x:v>
      </x:c>
      <x:c r="K205" s="9" t="n">
        <x:v>20</x:v>
      </x:c>
      <x:c r="L205" s="9" t="n">
        <x:v>7</x:v>
      </x:c>
      <x:c r="M205" s="9" t="n">
        <x:v>58</x:v>
      </x:c>
    </x:row>
    <x:row r="206">
      <x:c r="A206" s="7" t="n">
        <x:v>3435</x:v>
      </x:c>
      <x:c r="B206" s="7" t="str">
        <x:v>Sônia Carvalho</x:v>
      </x:c>
      <x:c r="C206" s="7" t="str">
        <x:v>Standard</x:v>
      </x:c>
      <x:c r="D206" s="8" t="n">
        <x:v>45552</x:v>
      </x:c>
      <x:c r="E206" s="7" t="str">
        <x:v>No</x:v>
      </x:c>
      <x:c r="F206" s="9" t="n">
        <x:v>10</x:v>
      </x:c>
      <x:c r="G206" s="7" t="str">
        <x:v>Monthly</x:v>
      </x:c>
      <x:c r="H206" s="7" t="str">
        <x:v>No</x:v>
      </x:c>
      <x:c r="I206" s="9" t="str">
        <x:v>-</x:v>
      </x:c>
      <x:c r="J206" s="7" t="str">
        <x:v>Yes</x:v>
      </x:c>
      <x:c r="K206" s="9" t="n">
        <x:v>20</x:v>
      </x:c>
      <x:c r="L206" s="9" t="n">
        <x:v>10</x:v>
      </x:c>
      <x:c r="M206" s="9" t="n">
        <x:v>20</x:v>
      </x:c>
    </x:row>
    <x:row r="207">
      <x:c r="A207" s="7" t="n">
        <x:v>3436</x:v>
      </x:c>
      <x:c r="B207" s="7" t="str">
        <x:v>Tiago Rodrigues</x:v>
      </x:c>
      <x:c r="C207" s="7" t="str">
        <x:v>Core</x:v>
      </x:c>
      <x:c r="D207" s="8" t="n">
        <x:v>45553</x:v>
      </x:c>
      <x:c r="E207" s="7" t="str">
        <x:v>Yes</x:v>
      </x:c>
      <x:c r="F207" s="9" t="n">
        <x:v>5</x:v>
      </x:c>
      <x:c r="G207" s="7" t="str">
        <x:v>Monthly</x:v>
      </x:c>
      <x:c r="H207" s="7" t="str">
        <x:v>No</x:v>
      </x:c>
      <x:c r="I207" s="9" t="str">
        <x:v>-</x:v>
      </x:c>
      <x:c r="J207" s="7" t="str">
        <x:v>No</x:v>
      </x:c>
      <x:c r="K207" s="9" t="n">
        <x:v>0</x:v>
      </x:c>
      <x:c r="L207" s="9" t="n">
        <x:v>0</x:v>
      </x:c>
      <x:c r="M207" s="9" t="n">
        <x:v>5</x:v>
      </x:c>
    </x:row>
    <x:row r="208">
      <x:c r="A208" s="7" t="n">
        <x:v>3437</x:v>
      </x:c>
      <x:c r="B208" s="7" t="str">
        <x:v>Ursula Monteiro</x:v>
      </x:c>
      <x:c r="C208" s="7" t="str">
        <x:v>Ultimate</x:v>
      </x:c>
      <x:c r="D208" s="8" t="n">
        <x:v>45554</x:v>
      </x:c>
      <x:c r="E208" s="7" t="str">
        <x:v>No</x:v>
      </x:c>
      <x:c r="F208" s="9" t="n">
        <x:v>15</x:v>
      </x:c>
      <x:c r="G208" s="7" t="str">
        <x:v>Quarterly</x:v>
      </x:c>
      <x:c r="H208" s="7" t="str">
        <x:v>Yes</x:v>
      </x:c>
      <x:c r="I208" s="9" t="n">
        <x:v>30</x:v>
      </x:c>
      <x:c r="J208" s="7" t="str">
        <x:v>Yes</x:v>
      </x:c>
      <x:c r="K208" s="9" t="n">
        <x:v>20</x:v>
      </x:c>
      <x:c r="L208" s="9" t="n">
        <x:v>7</x:v>
      </x:c>
      <x:c r="M208" s="9" t="n">
        <x:v>58</x:v>
      </x:c>
    </x:row>
    <x:row r="209">
      <x:c r="A209" s="7" t="n">
        <x:v>3438</x:v>
      </x:c>
      <x:c r="B209" s="7" t="str">
        <x:v>Vanessa Pereira</x:v>
      </x:c>
      <x:c r="C209" s="7" t="str">
        <x:v>Standard</x:v>
      </x:c>
      <x:c r="D209" s="8" t="n">
        <x:v>45555</x:v>
      </x:c>
      <x:c r="E209" s="7" t="str">
        <x:v>Yes</x:v>
      </x:c>
      <x:c r="F209" s="9" t="n">
        <x:v>10</x:v>
      </x:c>
      <x:c r="G209" s="7" t="str">
        <x:v>Annual</x:v>
      </x:c>
      <x:c r="H209" s="7" t="str">
        <x:v>No</x:v>
      </x:c>
      <x:c r="I209" s="9" t="str">
        <x:v>-</x:v>
      </x:c>
      <x:c r="J209" s="7" t="str">
        <x:v>Yes</x:v>
      </x:c>
      <x:c r="K209" s="9" t="n">
        <x:v>20</x:v>
      </x:c>
      <x:c r="L209" s="9" t="n">
        <x:v>10</x:v>
      </x:c>
      <x:c r="M209" s="9" t="n">
        <x:v>20</x:v>
      </x:c>
    </x:row>
    <x:row r="210">
      <x:c r="A210" s="7" t="n">
        <x:v>3439</x:v>
      </x:c>
      <x:c r="B210" s="7" t="str">
        <x:v>Walter Silva</x:v>
      </x:c>
      <x:c r="C210" s="7" t="str">
        <x:v>Core</x:v>
      </x:c>
      <x:c r="D210" s="8" t="n">
        <x:v>45556</x:v>
      </x:c>
      <x:c r="E210" s="7" t="str">
        <x:v>No</x:v>
      </x:c>
      <x:c r="F210" s="9" t="n">
        <x:v>5</x:v>
      </x:c>
      <x:c r="G210" s="7" t="str">
        <x:v>Quarterly</x:v>
      </x:c>
      <x:c r="H210" s="7" t="str">
        <x:v>No</x:v>
      </x:c>
      <x:c r="I210" s="9" t="str">
        <x:v>-</x:v>
      </x:c>
      <x:c r="J210" s="7" t="str">
        <x:v>No</x:v>
      </x:c>
      <x:c r="K210" s="9" t="n">
        <x:v>0</x:v>
      </x:c>
      <x:c r="L210" s="9" t="n">
        <x:v>1</x:v>
      </x:c>
      <x:c r="M210" s="9" t="n">
        <x:v>4</x:v>
      </x:c>
    </x:row>
    <x:row r="211">
      <x:c r="A211" s="7" t="n">
        <x:v>3440</x:v>
      </x:c>
      <x:c r="B211" s="7" t="str">
        <x:v>Xavier Almeida</x:v>
      </x:c>
      <x:c r="C211" s="7" t="str">
        <x:v>Ultimate</x:v>
      </x:c>
      <x:c r="D211" s="8" t="n">
        <x:v>45557</x:v>
      </x:c>
      <x:c r="E211" s="7" t="str">
        <x:v>Yes</x:v>
      </x:c>
      <x:c r="F211" s="9" t="n">
        <x:v>15</x:v>
      </x:c>
      <x:c r="G211" s="7" t="str">
        <x:v>Monthly</x:v>
      </x:c>
      <x:c r="H211" s="7" t="str">
        <x:v>Yes</x:v>
      </x:c>
      <x:c r="I211" s="9" t="n">
        <x:v>30</x:v>
      </x:c>
      <x:c r="J211" s="7" t="str">
        <x:v>Yes</x:v>
      </x:c>
      <x:c r="K211" s="9" t="n">
        <x:v>20</x:v>
      </x:c>
      <x:c r="L211" s="9" t="n">
        <x:v>15</x:v>
      </x:c>
      <x:c r="M211" s="9" t="n">
        <x:v>50</x:v>
      </x:c>
    </x:row>
    <x:row r="212">
      <x:c r="A212" s="7" t="n">
        <x:v>3441</x:v>
      </x:c>
      <x:c r="B212" s="7" t="str">
        <x:v>Yasmine Correia</x:v>
      </x:c>
      <x:c r="C212" s="7" t="str">
        <x:v>Standard</x:v>
      </x:c>
      <x:c r="D212" s="8" t="n">
        <x:v>45558</x:v>
      </x:c>
      <x:c r="E212" s="7" t="str">
        <x:v>No</x:v>
      </x:c>
      <x:c r="F212" s="9" t="n">
        <x:v>10</x:v>
      </x:c>
      <x:c r="G212" s="7" t="str">
        <x:v>Monthly</x:v>
      </x:c>
      <x:c r="H212" s="7" t="str">
        <x:v>No</x:v>
      </x:c>
      <x:c r="I212" s="9" t="str">
        <x:v>-</x:v>
      </x:c>
      <x:c r="J212" s="7" t="str">
        <x:v>Yes</x:v>
      </x:c>
      <x:c r="K212" s="9" t="n">
        <x:v>20</x:v>
      </x:c>
      <x:c r="L212" s="9" t="n">
        <x:v>5</x:v>
      </x:c>
      <x:c r="M212" s="9" t="n">
        <x:v>25</x:v>
      </x:c>
    </x:row>
    <x:row r="213">
      <x:c r="A213" s="7" t="n">
        <x:v>3442</x:v>
      </x:c>
      <x:c r="B213" s="7" t="str">
        <x:v>Zacarias Almeida</x:v>
      </x:c>
      <x:c r="C213" s="7" t="str">
        <x:v>Core</x:v>
      </x:c>
      <x:c r="D213" s="8" t="n">
        <x:v>45559</x:v>
      </x:c>
      <x:c r="E213" s="7" t="str">
        <x:v>Yes</x:v>
      </x:c>
      <x:c r="F213" s="9" t="n">
        <x:v>5</x:v>
      </x:c>
      <x:c r="G213" s="7" t="str">
        <x:v>Annual</x:v>
      </x:c>
      <x:c r="H213" s="7" t="str">
        <x:v>No</x:v>
      </x:c>
      <x:c r="I213" s="9" t="str">
        <x:v>-</x:v>
      </x:c>
      <x:c r="J213" s="7" t="str">
        <x:v>No</x:v>
      </x:c>
      <x:c r="K213" s="9" t="n">
        <x:v>0</x:v>
      </x:c>
      <x:c r="L213" s="9" t="n">
        <x:v>0</x:v>
      </x:c>
      <x:c r="M213" s="9" t="n">
        <x:v>5</x:v>
      </x:c>
    </x:row>
    <x:row r="214">
      <x:c r="A214" s="7" t="n">
        <x:v>3443</x:v>
      </x:c>
      <x:c r="B214" s="7" t="str">
        <x:v>Amanda Costa</x:v>
      </x:c>
      <x:c r="C214" s="7" t="str">
        <x:v>Ultimate</x:v>
      </x:c>
      <x:c r="D214" s="8" t="n">
        <x:v>45560</x:v>
      </x:c>
      <x:c r="E214" s="7" t="str">
        <x:v>No</x:v>
      </x:c>
      <x:c r="F214" s="9" t="n">
        <x:v>15</x:v>
      </x:c>
      <x:c r="G214" s="7" t="str">
        <x:v>Quarterly</x:v>
      </x:c>
      <x:c r="H214" s="7" t="str">
        <x:v>Yes</x:v>
      </x:c>
      <x:c r="I214" s="9" t="n">
        <x:v>30</x:v>
      </x:c>
      <x:c r="J214" s="7" t="str">
        <x:v>Yes</x:v>
      </x:c>
      <x:c r="K214" s="9" t="n">
        <x:v>20</x:v>
      </x:c>
      <x:c r="L214" s="9" t="n">
        <x:v>20</x:v>
      </x:c>
      <x:c r="M214" s="9" t="n">
        <x:v>45</x:v>
      </x:c>
    </x:row>
    <x:row r="215">
      <x:c r="A215" s="7" t="n">
        <x:v>3444</x:v>
      </x:c>
      <x:c r="B215" s="7" t="str">
        <x:v>Bruno Ferreira</x:v>
      </x:c>
      <x:c r="C215" s="7" t="str">
        <x:v>Standard</x:v>
      </x:c>
      <x:c r="D215" s="8" t="n">
        <x:v>45561</x:v>
      </x:c>
      <x:c r="E215" s="7" t="str">
        <x:v>Yes</x:v>
      </x:c>
      <x:c r="F215" s="9" t="n">
        <x:v>10</x:v>
      </x:c>
      <x:c r="G215" s="7" t="str">
        <x:v>Quarterly</x:v>
      </x:c>
      <x:c r="H215" s="7" t="str">
        <x:v>No</x:v>
      </x:c>
      <x:c r="I215" s="9" t="str">
        <x:v>-</x:v>
      </x:c>
      <x:c r="J215" s="7" t="str">
        <x:v>Yes</x:v>
      </x:c>
      <x:c r="K215" s="9" t="n">
        <x:v>20</x:v>
      </x:c>
      <x:c r="L215" s="9" t="n">
        <x:v>12</x:v>
      </x:c>
      <x:c r="M215" s="9" t="n">
        <x:v>18</x:v>
      </x:c>
    </x:row>
    <x:row r="216">
      <x:c r="A216" s="7" t="n">
        <x:v>3445</x:v>
      </x:c>
      <x:c r="B216" s="7" t="str">
        <x:v>Carla Dias</x:v>
      </x:c>
      <x:c r="C216" s="7" t="str">
        <x:v>Core</x:v>
      </x:c>
      <x:c r="D216" s="8" t="n">
        <x:v>45562</x:v>
      </x:c>
      <x:c r="E216" s="7" t="str">
        <x:v>No</x:v>
      </x:c>
      <x:c r="F216" s="9" t="n">
        <x:v>5</x:v>
      </x:c>
      <x:c r="G216" s="7" t="str">
        <x:v>Monthly</x:v>
      </x:c>
      <x:c r="H216" s="7" t="str">
        <x:v>No</x:v>
      </x:c>
      <x:c r="I216" s="9" t="str">
        <x:v>-</x:v>
      </x:c>
      <x:c r="J216" s="7" t="str">
        <x:v>No</x:v>
      </x:c>
      <x:c r="K216" s="9" t="n">
        <x:v>0</x:v>
      </x:c>
      <x:c r="L216" s="9" t="n">
        <x:v>2</x:v>
      </x:c>
      <x:c r="M216" s="9" t="n">
        <x:v>3</x:v>
      </x:c>
    </x:row>
    <x:row r="217">
      <x:c r="A217" s="7" t="n">
        <x:v>3446</x:v>
      </x:c>
      <x:c r="B217" s="7" t="str">
        <x:v>Diogo Martins</x:v>
      </x:c>
      <x:c r="C217" s="7" t="str">
        <x:v>Ultimate</x:v>
      </x:c>
      <x:c r="D217" s="8" t="n">
        <x:v>45563</x:v>
      </x:c>
      <x:c r="E217" s="7" t="str">
        <x:v>Yes</x:v>
      </x:c>
      <x:c r="F217" s="9" t="n">
        <x:v>15</x:v>
      </x:c>
      <x:c r="G217" s="7" t="str">
        <x:v>Annual</x:v>
      </x:c>
      <x:c r="H217" s="7" t="str">
        <x:v>Yes</x:v>
      </x:c>
      <x:c r="I217" s="9" t="n">
        <x:v>30</x:v>
      </x:c>
      <x:c r="J217" s="7" t="str">
        <x:v>Yes</x:v>
      </x:c>
      <x:c r="K217" s="9" t="n">
        <x:v>20</x:v>
      </x:c>
      <x:c r="L217" s="9" t="n">
        <x:v>5</x:v>
      </x:c>
      <x:c r="M217" s="9" t="n">
        <x:v>60</x:v>
      </x:c>
    </x:row>
    <x:row r="218">
      <x:c r="A218" s="7" t="n">
        <x:v>3447</x:v>
      </x:c>
      <x:c r="B218" s="7" t="str">
        <x:v>Elisa Campos</x:v>
      </x:c>
      <x:c r="C218" s="7" t="str">
        <x:v>Standard</x:v>
      </x:c>
      <x:c r="D218" s="8" t="n">
        <x:v>45564</x:v>
      </x:c>
      <x:c r="E218" s="7" t="str">
        <x:v>No</x:v>
      </x:c>
      <x:c r="F218" s="9" t="n">
        <x:v>10</x:v>
      </x:c>
      <x:c r="G218" s="7" t="str">
        <x:v>Monthly</x:v>
      </x:c>
      <x:c r="H218" s="7" t="str">
        <x:v>No</x:v>
      </x:c>
      <x:c r="I218" s="9" t="str">
        <x:v>-</x:v>
      </x:c>
      <x:c r="J218" s="7" t="str">
        <x:v>Yes</x:v>
      </x:c>
      <x:c r="K218" s="9" t="n">
        <x:v>20</x:v>
      </x:c>
      <x:c r="L218" s="9" t="n">
        <x:v>10</x:v>
      </x:c>
      <x:c r="M218" s="9" t="n">
        <x:v>20</x:v>
      </x:c>
    </x:row>
    <x:row r="219">
      <x:c r="A219" s="7" t="n">
        <x:v>3448</x:v>
      </x:c>
      <x:c r="B219" s="7" t="str">
        <x:v>Fabiana Lima</x:v>
      </x:c>
      <x:c r="C219" s="7" t="str">
        <x:v>Core</x:v>
      </x:c>
      <x:c r="D219" s="8" t="n">
        <x:v>45565</x:v>
      </x:c>
      <x:c r="E219" s="7" t="str">
        <x:v>Yes</x:v>
      </x:c>
      <x:c r="F219" s="9" t="n">
        <x:v>5</x:v>
      </x:c>
      <x:c r="G219" s="7" t="str">
        <x:v>Quarterly</x:v>
      </x:c>
      <x:c r="H219" s="7" t="str">
        <x:v>No</x:v>
      </x:c>
      <x:c r="I219" s="9" t="str">
        <x:v>-</x:v>
      </x:c>
      <x:c r="J219" s="7" t="str">
        <x:v>No</x:v>
      </x:c>
      <x:c r="K219" s="9" t="n">
        <x:v>0</x:v>
      </x:c>
      <x:c r="L219" s="9" t="n">
        <x:v>0</x:v>
      </x:c>
      <x:c r="M219" s="9" t="n">
        <x:v>5</x:v>
      </x:c>
    </x:row>
    <x:row r="220">
      <x:c r="A220" s="7" t="n">
        <x:v>3449</x:v>
      </x:c>
      <x:c r="B220" s="7" t="str">
        <x:v>Gabriel Santos</x:v>
      </x:c>
      <x:c r="C220" s="7" t="str">
        <x:v>Ultimate</x:v>
      </x:c>
      <x:c r="D220" s="8" t="n">
        <x:v>45566</x:v>
      </x:c>
      <x:c r="E220" s="7" t="str">
        <x:v>No</x:v>
      </x:c>
      <x:c r="F220" s="9" t="n">
        <x:v>15</x:v>
      </x:c>
      <x:c r="G220" s="7" t="str">
        <x:v>Monthly</x:v>
      </x:c>
      <x:c r="H220" s="7" t="str">
        <x:v>Yes</x:v>
      </x:c>
      <x:c r="I220" s="9" t="n">
        <x:v>30</x:v>
      </x:c>
      <x:c r="J220" s="7" t="str">
        <x:v>Yes</x:v>
      </x:c>
      <x:c r="K220" s="9" t="n">
        <x:v>20</x:v>
      </x:c>
      <x:c r="L220" s="9" t="n">
        <x:v>3</x:v>
      </x:c>
      <x:c r="M220" s="9" t="n">
        <x:v>62</x:v>
      </x:c>
    </x:row>
    <x:row r="221">
      <x:c r="A221" s="7" t="n">
        <x:v>3450</x:v>
      </x:c>
      <x:c r="B221" s="7" t="str">
        <x:v>Helena Ferreira</x:v>
      </x:c>
      <x:c r="C221" s="7" t="str">
        <x:v>Standard</x:v>
      </x:c>
      <x:c r="D221" s="8" t="n">
        <x:v>45567</x:v>
      </x:c>
      <x:c r="E221" s="7" t="str">
        <x:v>Yes</x:v>
      </x:c>
      <x:c r="F221" s="9" t="n">
        <x:v>10</x:v>
      </x:c>
      <x:c r="G221" s="7" t="str">
        <x:v>Annual</x:v>
      </x:c>
      <x:c r="H221" s="7" t="str">
        <x:v>No</x:v>
      </x:c>
      <x:c r="I221" s="9" t="str">
        <x:v>-</x:v>
      </x:c>
      <x:c r="J221" s="7" t="str">
        <x:v>Yes</x:v>
      </x:c>
      <x:c r="K221" s="9" t="n">
        <x:v>20</x:v>
      </x:c>
      <x:c r="L221" s="9" t="n">
        <x:v>15</x:v>
      </x:c>
      <x:c r="M221" s="9" t="n">
        <x:v>15</x:v>
      </x:c>
    </x:row>
    <x:row r="222">
      <x:c r="A222" s="7" t="n">
        <x:v>3451</x:v>
      </x:c>
      <x:c r="B222" s="7" t="str">
        <x:v>Ígor Nunes</x:v>
      </x:c>
      <x:c r="C222" s="7" t="str">
        <x:v>Core</x:v>
      </x:c>
      <x:c r="D222" s="8" t="n">
        <x:v>45568</x:v>
      </x:c>
      <x:c r="E222" s="7" t="str">
        <x:v>No</x:v>
      </x:c>
      <x:c r="F222" s="9" t="n">
        <x:v>5</x:v>
      </x:c>
      <x:c r="G222" s="7" t="str">
        <x:v>Monthly</x:v>
      </x:c>
      <x:c r="H222" s="7" t="str">
        <x:v>No</x:v>
      </x:c>
      <x:c r="I222" s="9" t="str">
        <x:v>-</x:v>
      </x:c>
      <x:c r="J222" s="7" t="str">
        <x:v>No</x:v>
      </x:c>
      <x:c r="K222" s="9" t="n">
        <x:v>0</x:v>
      </x:c>
      <x:c r="L222" s="9" t="n">
        <x:v>1</x:v>
      </x:c>
      <x:c r="M222" s="9" t="n">
        <x:v>4</x:v>
      </x:c>
    </x:row>
    <x:row r="223">
      <x:c r="A223" s="7" t="n">
        <x:v>3452</x:v>
      </x:c>
      <x:c r="B223" s="7" t="str">
        <x:v>Joana Silveira</x:v>
      </x:c>
      <x:c r="C223" s="7" t="str">
        <x:v>Ultimate</x:v>
      </x:c>
      <x:c r="D223" s="8" t="n">
        <x:v>45569</x:v>
      </x:c>
      <x:c r="E223" s="7" t="str">
        <x:v>Yes</x:v>
      </x:c>
      <x:c r="F223" s="9" t="n">
        <x:v>15</x:v>
      </x:c>
      <x:c r="G223" s="7" t="str">
        <x:v>Quarterly</x:v>
      </x:c>
      <x:c r="H223" s="7" t="str">
        <x:v>Yes</x:v>
      </x:c>
      <x:c r="I223" s="9" t="n">
        <x:v>30</x:v>
      </x:c>
      <x:c r="J223" s="7" t="str">
        <x:v>Yes</x:v>
      </x:c>
      <x:c r="K223" s="9" t="n">
        <x:v>20</x:v>
      </x:c>
      <x:c r="L223" s="9" t="n">
        <x:v>7</x:v>
      </x:c>
      <x:c r="M223" s="9" t="n">
        <x:v>58</x:v>
      </x:c>
    </x:row>
    <x:row r="224">
      <x:c r="A224" s="7" t="n">
        <x:v>3453</x:v>
      </x:c>
      <x:c r="B224" s="7" t="str">
        <x:v>Kléber Oliveira</x:v>
      </x:c>
      <x:c r="C224" s="7" t="str">
        <x:v>Standard</x:v>
      </x:c>
      <x:c r="D224" s="8" t="n">
        <x:v>45570</x:v>
      </x:c>
      <x:c r="E224" s="7" t="str">
        <x:v>No</x:v>
      </x:c>
      <x:c r="F224" s="9" t="n">
        <x:v>10</x:v>
      </x:c>
      <x:c r="G224" s="7" t="str">
        <x:v>Monthly</x:v>
      </x:c>
      <x:c r="H224" s="7" t="str">
        <x:v>No</x:v>
      </x:c>
      <x:c r="I224" s="9" t="str">
        <x:v>-</x:v>
      </x:c>
      <x:c r="J224" s="7" t="str">
        <x:v>Yes</x:v>
      </x:c>
      <x:c r="K224" s="9" t="n">
        <x:v>20</x:v>
      </x:c>
      <x:c r="L224" s="9" t="n">
        <x:v>10</x:v>
      </x:c>
      <x:c r="M224" s="9" t="n">
        <x:v>20</x:v>
      </x:c>
    </x:row>
    <x:row r="225">
      <x:c r="A225" s="7" t="n">
        <x:v>3454</x:v>
      </x:c>
      <x:c r="B225" s="7" t="str">
        <x:v>Luciana Morais</x:v>
      </x:c>
      <x:c r="C225" s="7" t="str">
        <x:v>Core</x:v>
      </x:c>
      <x:c r="D225" s="8" t="n">
        <x:v>45571</x:v>
      </x:c>
      <x:c r="E225" s="7" t="str">
        <x:v>Yes</x:v>
      </x:c>
      <x:c r="F225" s="9" t="n">
        <x:v>5</x:v>
      </x:c>
      <x:c r="G225" s="7" t="str">
        <x:v>Annual</x:v>
      </x:c>
      <x:c r="H225" s="7" t="str">
        <x:v>No</x:v>
      </x:c>
      <x:c r="I225" s="9" t="str">
        <x:v>-</x:v>
      </x:c>
      <x:c r="J225" s="7" t="str">
        <x:v>No</x:v>
      </x:c>
      <x:c r="K225" s="9" t="n">
        <x:v>0</x:v>
      </x:c>
      <x:c r="L225" s="9" t="n">
        <x:v>0</x:v>
      </x:c>
      <x:c r="M225" s="9" t="n">
        <x:v>5</x:v>
      </x:c>
    </x:row>
    <x:row r="226">
      <x:c r="A226" s="7" t="n">
        <x:v>3455</x:v>
      </x:c>
      <x:c r="B226" s="7" t="str">
        <x:v>Marcos Vinícius</x:v>
      </x:c>
      <x:c r="C226" s="7" t="str">
        <x:v>Ultimate</x:v>
      </x:c>
      <x:c r="D226" s="8" t="n">
        <x:v>45572</x:v>
      </x:c>
      <x:c r="E226" s="7" t="str">
        <x:v>No</x:v>
      </x:c>
      <x:c r="F226" s="9" t="n">
        <x:v>15</x:v>
      </x:c>
      <x:c r="G226" s="7" t="str">
        <x:v>Monthly</x:v>
      </x:c>
      <x:c r="H226" s="7" t="str">
        <x:v>Yes</x:v>
      </x:c>
      <x:c r="I226" s="9" t="n">
        <x:v>30</x:v>
      </x:c>
      <x:c r="J226" s="7" t="str">
        <x:v>Yes</x:v>
      </x:c>
      <x:c r="K226" s="9" t="n">
        <x:v>20</x:v>
      </x:c>
      <x:c r="L226" s="9" t="n">
        <x:v>20</x:v>
      </x:c>
      <x:c r="M226" s="9" t="n">
        <x:v>45</x:v>
      </x:c>
    </x:row>
    <x:row r="227">
      <x:c r="A227" s="7" t="n">
        <x:v>3456</x:v>
      </x:c>
      <x:c r="B227" s="7" t="str">
        <x:v>Natália Barros</x:v>
      </x:c>
      <x:c r="C227" s="7" t="str">
        <x:v>Standard</x:v>
      </x:c>
      <x:c r="D227" s="8" t="n">
        <x:v>45573</x:v>
      </x:c>
      <x:c r="E227" s="7" t="str">
        <x:v>Yes</x:v>
      </x:c>
      <x:c r="F227" s="9" t="n">
        <x:v>10</x:v>
      </x:c>
      <x:c r="G227" s="7" t="str">
        <x:v>Quarterly</x:v>
      </x:c>
      <x:c r="H227" s="7" t="str">
        <x:v>No</x:v>
      </x:c>
      <x:c r="I227" s="9" t="str">
        <x:v>-</x:v>
      </x:c>
      <x:c r="J227" s="7" t="str">
        <x:v>Yes</x:v>
      </x:c>
      <x:c r="K227" s="9" t="n">
        <x:v>20</x:v>
      </x:c>
      <x:c r="L227" s="9" t="n">
        <x:v>15</x:v>
      </x:c>
      <x:c r="M227" s="9" t="n">
        <x:v>15</x:v>
      </x:c>
    </x:row>
    <x:row r="228">
      <x:c r="A228" s="7" t="n">
        <x:v>3457</x:v>
      </x:c>
      <x:c r="B228" s="7" t="str">
        <x:v>Oscar Sampaio</x:v>
      </x:c>
      <x:c r="C228" s="7" t="str">
        <x:v>Core</x:v>
      </x:c>
      <x:c r="D228" s="8" t="n">
        <x:v>45574</x:v>
      </x:c>
      <x:c r="E228" s="7" t="str">
        <x:v>No</x:v>
      </x:c>
      <x:c r="F228" s="9" t="n">
        <x:v>5</x:v>
      </x:c>
      <x:c r="G228" s="7" t="str">
        <x:v>Monthly</x:v>
      </x:c>
      <x:c r="H228" s="7" t="str">
        <x:v>No</x:v>
      </x:c>
      <x:c r="I228" s="9" t="str">
        <x:v>-</x:v>
      </x:c>
      <x:c r="J228" s="7" t="str">
        <x:v>No</x:v>
      </x:c>
      <x:c r="K228" s="9" t="n">
        <x:v>0</x:v>
      </x:c>
      <x:c r="L228" s="9" t="n">
        <x:v>1</x:v>
      </x:c>
      <x:c r="M228" s="9" t="n">
        <x:v>4</x:v>
      </x:c>
    </x:row>
    <x:row r="229">
      <x:c r="A229" s="7" t="n">
        <x:v>3458</x:v>
      </x:c>
      <x:c r="B229" s="7" t="str">
        <x:v>Patrícia Leite</x:v>
      </x:c>
      <x:c r="C229" s="7" t="str">
        <x:v>Ultimate</x:v>
      </x:c>
      <x:c r="D229" s="8" t="n">
        <x:v>45575</x:v>
      </x:c>
      <x:c r="E229" s="7" t="str">
        <x:v>Yes</x:v>
      </x:c>
      <x:c r="F229" s="9" t="n">
        <x:v>15</x:v>
      </x:c>
      <x:c r="G229" s="7" t="str">
        <x:v>Annual</x:v>
      </x:c>
      <x:c r="H229" s="7" t="str">
        <x:v>Yes</x:v>
      </x:c>
      <x:c r="I229" s="9" t="n">
        <x:v>30</x:v>
      </x:c>
      <x:c r="J229" s="7" t="str">
        <x:v>Yes</x:v>
      </x:c>
      <x:c r="K229" s="9" t="n">
        <x:v>20</x:v>
      </x:c>
      <x:c r="L229" s="9" t="n">
        <x:v>3</x:v>
      </x:c>
      <x:c r="M229" s="9" t="n">
        <x:v>62</x:v>
      </x:c>
    </x:row>
    <x:row r="230">
      <x:c r="A230" s="7" t="n">
        <x:v>3459</x:v>
      </x:c>
      <x:c r="B230" s="7" t="str">
        <x:v>Quênia Rocha</x:v>
      </x:c>
      <x:c r="C230" s="7" t="str">
        <x:v>Standard</x:v>
      </x:c>
      <x:c r="D230" s="8" t="n">
        <x:v>45576</x:v>
      </x:c>
      <x:c r="E230" s="7" t="str">
        <x:v>No</x:v>
      </x:c>
      <x:c r="F230" s="9" t="n">
        <x:v>10</x:v>
      </x:c>
      <x:c r="G230" s="7" t="str">
        <x:v>Monthly</x:v>
      </x:c>
      <x:c r="H230" s="7" t="str">
        <x:v>No</x:v>
      </x:c>
      <x:c r="I230" s="9" t="str">
        <x:v>-</x:v>
      </x:c>
      <x:c r="J230" s="7" t="str">
        <x:v>Yes</x:v>
      </x:c>
      <x:c r="K230" s="9" t="n">
        <x:v>20</x:v>
      </x:c>
      <x:c r="L230" s="9" t="n">
        <x:v>10</x:v>
      </x:c>
      <x:c r="M230" s="9" t="n">
        <x:v>20</x:v>
      </x:c>
    </x:row>
    <x:row r="231">
      <x:c r="A231" s="7" t="n">
        <x:v>3460</x:v>
      </x:c>
      <x:c r="B231" s="7" t="str">
        <x:v>Rafael Torres</x:v>
      </x:c>
      <x:c r="C231" s="7" t="str">
        <x:v>Core</x:v>
      </x:c>
      <x:c r="D231" s="8" t="n">
        <x:v>45577</x:v>
      </x:c>
      <x:c r="E231" s="7" t="str">
        <x:v>Yes</x:v>
      </x:c>
      <x:c r="F231" s="9" t="n">
        <x:v>5</x:v>
      </x:c>
      <x:c r="G231" s="7" t="str">
        <x:v>Quarterly</x:v>
      </x:c>
      <x:c r="H231" s="7" t="str">
        <x:v>No</x:v>
      </x:c>
      <x:c r="I231" s="9" t="str">
        <x:v>-</x:v>
      </x:c>
      <x:c r="J231" s="7" t="str">
        <x:v>No</x:v>
      </x:c>
      <x:c r="K231" s="9" t="n">
        <x:v>0</x:v>
      </x:c>
      <x:c r="L231" s="9" t="n">
        <x:v>0</x:v>
      </x:c>
      <x:c r="M231" s="9" t="n">
        <x:v>5</x:v>
      </x:c>
    </x:row>
    <x:row r="232">
      <x:c r="A232" s="7" t="n">
        <x:v>3461</x:v>
      </x:c>
      <x:c r="B232" s="7" t="str">
        <x:v>Sandra Gouveia</x:v>
      </x:c>
      <x:c r="C232" s="7" t="str">
        <x:v>Ultimate</x:v>
      </x:c>
      <x:c r="D232" s="8" t="n">
        <x:v>45578</x:v>
      </x:c>
      <x:c r="E232" s="7" t="str">
        <x:v>No</x:v>
      </x:c>
      <x:c r="F232" s="9" t="n">
        <x:v>15</x:v>
      </x:c>
      <x:c r="G232" s="7" t="str">
        <x:v>Monthly</x:v>
      </x:c>
      <x:c r="H232" s="7" t="str">
        <x:v>Yes</x:v>
      </x:c>
      <x:c r="I232" s="9" t="n">
        <x:v>30</x:v>
      </x:c>
      <x:c r="J232" s="7" t="str">
        <x:v>Yes</x:v>
      </x:c>
      <x:c r="K232" s="9" t="n">
        <x:v>20</x:v>
      </x:c>
      <x:c r="L232" s="9" t="n">
        <x:v>15</x:v>
      </x:c>
      <x:c r="M232" s="9" t="n">
        <x:v>50</x:v>
      </x:c>
    </x:row>
    <x:row r="233">
      <x:c r="A233" s="7" t="n">
        <x:v>3462</x:v>
      </x:c>
      <x:c r="B233" s="7" t="str">
        <x:v>Tiago Lacerda</x:v>
      </x:c>
      <x:c r="C233" s="7" t="str">
        <x:v>Standard</x:v>
      </x:c>
      <x:c r="D233" s="8" t="n">
        <x:v>45579</x:v>
      </x:c>
      <x:c r="E233" s="7" t="str">
        <x:v>Yes</x:v>
      </x:c>
      <x:c r="F233" s="9" t="n">
        <x:v>10</x:v>
      </x:c>
      <x:c r="G233" s="7" t="str">
        <x:v>Annual</x:v>
      </x:c>
      <x:c r="H233" s="7" t="str">
        <x:v>No</x:v>
      </x:c>
      <x:c r="I233" s="9" t="str">
        <x:v>-</x:v>
      </x:c>
      <x:c r="J233" s="7" t="str">
        <x:v>Yes</x:v>
      </x:c>
      <x:c r="K233" s="9" t="n">
        <x:v>20</x:v>
      </x:c>
      <x:c r="L233" s="9" t="n">
        <x:v>15</x:v>
      </x:c>
      <x:c r="M233" s="9" t="n">
        <x:v>15</x:v>
      </x:c>
    </x:row>
    <x:row r="234">
      <x:c r="A234" s="7" t="n">
        <x:v>3463</x:v>
      </x:c>
      <x:c r="B234" s="7" t="str">
        <x:v>Ursula Fonseca</x:v>
      </x:c>
      <x:c r="C234" s="7" t="str">
        <x:v>Core</x:v>
      </x:c>
      <x:c r="D234" s="8" t="n">
        <x:v>45580</x:v>
      </x:c>
      <x:c r="E234" s="7" t="str">
        <x:v>No</x:v>
      </x:c>
      <x:c r="F234" s="9" t="n">
        <x:v>5</x:v>
      </x:c>
      <x:c r="G234" s="7" t="str">
        <x:v>Monthly</x:v>
      </x:c>
      <x:c r="H234" s="7" t="str">
        <x:v>No</x:v>
      </x:c>
      <x:c r="I234" s="9" t="str">
        <x:v>-</x:v>
      </x:c>
      <x:c r="J234" s="7" t="str">
        <x:v>No</x:v>
      </x:c>
      <x:c r="K234" s="9" t="n">
        <x:v>0</x:v>
      </x:c>
      <x:c r="L234" s="9" t="n">
        <x:v>1</x:v>
      </x:c>
      <x:c r="M234" s="9" t="n">
        <x:v>4</x:v>
      </x:c>
    </x:row>
    <x:row r="235">
      <x:c r="A235" s="7" t="n">
        <x:v>3464</x:v>
      </x:c>
      <x:c r="B235" s="7" t="str">
        <x:v>Vanessa Andrade</x:v>
      </x:c>
      <x:c r="C235" s="7" t="str">
        <x:v>Ultimate</x:v>
      </x:c>
      <x:c r="D235" s="8" t="n">
        <x:v>45581</x:v>
      </x:c>
      <x:c r="E235" s="7" t="str">
        <x:v>Yes</x:v>
      </x:c>
      <x:c r="F235" s="9" t="n">
        <x:v>15</x:v>
      </x:c>
      <x:c r="G235" s="7" t="str">
        <x:v>Quarterly</x:v>
      </x:c>
      <x:c r="H235" s="7" t="str">
        <x:v>Yes</x:v>
      </x:c>
      <x:c r="I235" s="9" t="n">
        <x:v>30</x:v>
      </x:c>
      <x:c r="J235" s="7" t="str">
        <x:v>Yes</x:v>
      </x:c>
      <x:c r="K235" s="9" t="n">
        <x:v>20</x:v>
      </x:c>
      <x:c r="L235" s="9" t="n">
        <x:v>7</x:v>
      </x:c>
      <x:c r="M235" s="9" t="n">
        <x:v>58</x:v>
      </x:c>
    </x:row>
    <x:row r="236">
      <x:c r="A236" s="7" t="n">
        <x:v>3465</x:v>
      </x:c>
      <x:c r="B236" s="7" t="str">
        <x:v>William Castro</x:v>
      </x:c>
      <x:c r="C236" s="7" t="str">
        <x:v>Standard</x:v>
      </x:c>
      <x:c r="D236" s="8" t="n">
        <x:v>45582</x:v>
      </x:c>
      <x:c r="E236" s="7" t="str">
        <x:v>No</x:v>
      </x:c>
      <x:c r="F236" s="9" t="n">
        <x:v>10</x:v>
      </x:c>
      <x:c r="G236" s="7" t="str">
        <x:v>Monthly</x:v>
      </x:c>
      <x:c r="H236" s="7" t="str">
        <x:v>No</x:v>
      </x:c>
      <x:c r="I236" s="9" t="str">
        <x:v>-</x:v>
      </x:c>
      <x:c r="J236" s="7" t="str">
        <x:v>Yes</x:v>
      </x:c>
      <x:c r="K236" s="9" t="n">
        <x:v>20</x:v>
      </x:c>
      <x:c r="L236" s="9" t="n">
        <x:v>10</x:v>
      </x:c>
      <x:c r="M236" s="9" t="n">
        <x:v>20</x:v>
      </x:c>
    </x:row>
    <x:row r="237">
      <x:c r="A237" s="7" t="n">
        <x:v>3466</x:v>
      </x:c>
      <x:c r="B237" s="7" t="str">
        <x:v>Xavier Monteiro</x:v>
      </x:c>
      <x:c r="C237" s="7" t="str">
        <x:v>Core</x:v>
      </x:c>
      <x:c r="D237" s="8" t="n">
        <x:v>45583</x:v>
      </x:c>
      <x:c r="E237" s="7" t="str">
        <x:v>Yes</x:v>
      </x:c>
      <x:c r="F237" s="9" t="n">
        <x:v>5</x:v>
      </x:c>
      <x:c r="G237" s="7" t="str">
        <x:v>Annual</x:v>
      </x:c>
      <x:c r="H237" s="7" t="str">
        <x:v>No</x:v>
      </x:c>
      <x:c r="I237" s="9" t="str">
        <x:v>-</x:v>
      </x:c>
      <x:c r="J237" s="7" t="str">
        <x:v>No</x:v>
      </x:c>
      <x:c r="K237" s="9" t="n">
        <x:v>0</x:v>
      </x:c>
      <x:c r="L237" s="9" t="n">
        <x:v>0</x:v>
      </x:c>
      <x:c r="M237" s="9" t="n">
        <x:v>5</x:v>
      </x:c>
    </x:row>
    <x:row r="238">
      <x:c r="A238" s="7" t="n">
        <x:v>3467</x:v>
      </x:c>
      <x:c r="B238" s="7" t="str">
        <x:v>Yasmin Figueira</x:v>
      </x:c>
      <x:c r="C238" s="7" t="str">
        <x:v>Ultimate</x:v>
      </x:c>
      <x:c r="D238" s="8" t="n">
        <x:v>45584</x:v>
      </x:c>
      <x:c r="E238" s="7" t="str">
        <x:v>No</x:v>
      </x:c>
      <x:c r="F238" s="9" t="n">
        <x:v>15</x:v>
      </x:c>
      <x:c r="G238" s="7" t="str">
        <x:v>Monthly</x:v>
      </x:c>
      <x:c r="H238" s="7" t="str">
        <x:v>Yes</x:v>
      </x:c>
      <x:c r="I238" s="9" t="n">
        <x:v>30</x:v>
      </x:c>
      <x:c r="J238" s="7" t="str">
        <x:v>Yes</x:v>
      </x:c>
      <x:c r="K238" s="9" t="n">
        <x:v>20</x:v>
      </x:c>
      <x:c r="L238" s="9" t="n">
        <x:v>15</x:v>
      </x:c>
      <x:c r="M238" s="9" t="n">
        <x:v>50</x:v>
      </x:c>
    </x:row>
    <x:row r="239">
      <x:c r="A239" s="7" t="n">
        <x:v>3468</x:v>
      </x:c>
      <x:c r="B239" s="7" t="str">
        <x:v>Zacarias Mendonça</x:v>
      </x:c>
      <x:c r="C239" s="7" t="str">
        <x:v>Standard</x:v>
      </x:c>
      <x:c r="D239" s="8" t="n">
        <x:v>45585</x:v>
      </x:c>
      <x:c r="E239" s="7" t="str">
        <x:v>Yes</x:v>
      </x:c>
      <x:c r="F239" s="9" t="n">
        <x:v>10</x:v>
      </x:c>
      <x:c r="G239" s="7" t="str">
        <x:v>Quarterly</x:v>
      </x:c>
      <x:c r="H239" s="7" t="str">
        <x:v>No</x:v>
      </x:c>
      <x:c r="I239" s="9" t="str">
        <x:v>-</x:v>
      </x:c>
      <x:c r="J239" s="7" t="str">
        <x:v>Yes</x:v>
      </x:c>
      <x:c r="K239" s="9" t="n">
        <x:v>20</x:v>
      </x:c>
      <x:c r="L239" s="9" t="n">
        <x:v>12</x:v>
      </x:c>
      <x:c r="M239" s="9" t="n">
        <x:v>18</x:v>
      </x:c>
    </x:row>
    <x:row r="240">
      <x:c r="A240" s="7" t="n">
        <x:v>3469</x:v>
      </x:c>
      <x:c r="B240" s="7" t="str">
        <x:v>Amanda Menezes</x:v>
      </x:c>
      <x:c r="C240" s="7" t="str">
        <x:v>Core</x:v>
      </x:c>
      <x:c r="D240" s="8" t="n">
        <x:v>45586</x:v>
      </x:c>
      <x:c r="E240" s="7" t="str">
        <x:v>No</x:v>
      </x:c>
      <x:c r="F240" s="9" t="n">
        <x:v>5</x:v>
      </x:c>
      <x:c r="G240" s="7" t="str">
        <x:v>Monthly</x:v>
      </x:c>
      <x:c r="H240" s="7" t="str">
        <x:v>No</x:v>
      </x:c>
      <x:c r="I240" s="9" t="str">
        <x:v>-</x:v>
      </x:c>
      <x:c r="J240" s="7" t="str">
        <x:v>No</x:v>
      </x:c>
      <x:c r="K240" s="9" t="n">
        <x:v>0</x:v>
      </x:c>
      <x:c r="L240" s="9" t="n">
        <x:v>2</x:v>
      </x:c>
      <x:c r="M240" s="9" t="n">
        <x:v>3</x:v>
      </x:c>
    </x:row>
    <x:row r="241">
      <x:c r="A241" s="7" t="n">
        <x:v>3470</x:v>
      </x:c>
      <x:c r="B241" s="7" t="str">
        <x:v>Bruno Santos</x:v>
      </x:c>
      <x:c r="C241" s="7" t="str">
        <x:v>Ultimate</x:v>
      </x:c>
      <x:c r="D241" s="8" t="n">
        <x:v>45587</x:v>
      </x:c>
      <x:c r="E241" s="7" t="str">
        <x:v>Yes</x:v>
      </x:c>
      <x:c r="F241" s="9" t="n">
        <x:v>15</x:v>
      </x:c>
      <x:c r="G241" s="7" t="str">
        <x:v>Annual</x:v>
      </x:c>
      <x:c r="H241" s="7" t="str">
        <x:v>Yes</x:v>
      </x:c>
      <x:c r="I241" s="9" t="n">
        <x:v>30</x:v>
      </x:c>
      <x:c r="J241" s="7" t="str">
        <x:v>Yes</x:v>
      </x:c>
      <x:c r="K241" s="9" t="n">
        <x:v>20</x:v>
      </x:c>
      <x:c r="L241" s="9" t="n">
        <x:v>5</x:v>
      </x:c>
      <x:c r="M241" s="9" t="n">
        <x:v>60</x:v>
      </x:c>
    </x:row>
    <x:row r="242">
      <x:c r="A242" s="7" t="n">
        <x:v>3471</x:v>
      </x:c>
      <x:c r="B242" s="7" t="str">
        <x:v>Carla Ferreira</x:v>
      </x:c>
      <x:c r="C242" s="7" t="str">
        <x:v>Standard</x:v>
      </x:c>
      <x:c r="D242" s="8" t="n">
        <x:v>45588</x:v>
      </x:c>
      <x:c r="E242" s="7" t="str">
        <x:v>No</x:v>
      </x:c>
      <x:c r="F242" s="9" t="n">
        <x:v>10</x:v>
      </x:c>
      <x:c r="G242" s="7" t="str">
        <x:v>Monthly</x:v>
      </x:c>
      <x:c r="H242" s="7" t="str">
        <x:v>No</x:v>
      </x:c>
      <x:c r="I242" s="9" t="str">
        <x:v>-</x:v>
      </x:c>
      <x:c r="J242" s="7" t="str">
        <x:v>Yes</x:v>
      </x:c>
      <x:c r="K242" s="9" t="n">
        <x:v>20</x:v>
      </x:c>
      <x:c r="L242" s="9" t="n">
        <x:v>10</x:v>
      </x:c>
      <x:c r="M242" s="9" t="n">
        <x:v>20</x:v>
      </x:c>
    </x:row>
    <x:row r="243">
      <x:c r="A243" s="7" t="n">
        <x:v>3472</x:v>
      </x:c>
      <x:c r="B243" s="7" t="str">
        <x:v>Diogo Alves</x:v>
      </x:c>
      <x:c r="C243" s="7" t="str">
        <x:v>Core</x:v>
      </x:c>
      <x:c r="D243" s="8" t="n">
        <x:v>45589</x:v>
      </x:c>
      <x:c r="E243" s="7" t="str">
        <x:v>Yes</x:v>
      </x:c>
      <x:c r="F243" s="9" t="n">
        <x:v>5</x:v>
      </x:c>
      <x:c r="G243" s="7" t="str">
        <x:v>Quarterly</x:v>
      </x:c>
      <x:c r="H243" s="7" t="str">
        <x:v>No</x:v>
      </x:c>
      <x:c r="I243" s="9" t="str">
        <x:v>-</x:v>
      </x:c>
      <x:c r="J243" s="7" t="str">
        <x:v>No</x:v>
      </x:c>
      <x:c r="K243" s="9" t="n">
        <x:v>0</x:v>
      </x:c>
      <x:c r="L243" s="9" t="n">
        <x:v>0</x:v>
      </x:c>
      <x:c r="M243" s="9" t="n">
        <x:v>5</x:v>
      </x:c>
    </x:row>
    <x:row r="244">
      <x:c r="A244" s="7" t="n">
        <x:v>3473</x:v>
      </x:c>
      <x:c r="B244" s="7" t="str">
        <x:v>Elisa Neves</x:v>
      </x:c>
      <x:c r="C244" s="7" t="str">
        <x:v>Ultimate</x:v>
      </x:c>
      <x:c r="D244" s="8" t="n">
        <x:v>45590</x:v>
      </x:c>
      <x:c r="E244" s="7" t="str">
        <x:v>No</x:v>
      </x:c>
      <x:c r="F244" s="9" t="n">
        <x:v>15</x:v>
      </x:c>
      <x:c r="G244" s="7" t="str">
        <x:v>Monthly</x:v>
      </x:c>
      <x:c r="H244" s="7" t="str">
        <x:v>Yes</x:v>
      </x:c>
      <x:c r="I244" s="9" t="n">
        <x:v>30</x:v>
      </x:c>
      <x:c r="J244" s="7" t="str">
        <x:v>Yes</x:v>
      </x:c>
      <x:c r="K244" s="9" t="n">
        <x:v>20</x:v>
      </x:c>
      <x:c r="L244" s="9" t="n">
        <x:v>3</x:v>
      </x:c>
      <x:c r="M244" s="9" t="n">
        <x:v>62</x:v>
      </x:c>
    </x:row>
    <x:row r="245">
      <x:c r="A245" s="7" t="n">
        <x:v>3474</x:v>
      </x:c>
      <x:c r="B245" s="7" t="str">
        <x:v>Fabiano Pires</x:v>
      </x:c>
      <x:c r="C245" s="7" t="str">
        <x:v>Standard</x:v>
      </x:c>
      <x:c r="D245" s="8" t="n">
        <x:v>45591</x:v>
      </x:c>
      <x:c r="E245" s="7" t="str">
        <x:v>Yes</x:v>
      </x:c>
      <x:c r="F245" s="9" t="n">
        <x:v>10</x:v>
      </x:c>
      <x:c r="G245" s="7" t="str">
        <x:v>Annual</x:v>
      </x:c>
      <x:c r="H245" s="7" t="str">
        <x:v>No</x:v>
      </x:c>
      <x:c r="I245" s="9" t="str">
        <x:v>-</x:v>
      </x:c>
      <x:c r="J245" s="7" t="str">
        <x:v>Yes</x:v>
      </x:c>
      <x:c r="K245" s="9" t="n">
        <x:v>20</x:v>
      </x:c>
      <x:c r="L245" s="9" t="n">
        <x:v>15</x:v>
      </x:c>
      <x:c r="M245" s="9" t="n">
        <x:v>15</x:v>
      </x:c>
    </x:row>
    <x:row r="246">
      <x:c r="A246" s="7" t="n">
        <x:v>3475</x:v>
      </x:c>
      <x:c r="B246" s="7" t="str">
        <x:v>Giovana Ribeiro</x:v>
      </x:c>
      <x:c r="C246" s="7" t="str">
        <x:v>Core</x:v>
      </x:c>
      <x:c r="D246" s="8" t="n">
        <x:v>45592</x:v>
      </x:c>
      <x:c r="E246" s="7" t="str">
        <x:v>No</x:v>
      </x:c>
      <x:c r="F246" s="9" t="n">
        <x:v>5</x:v>
      </x:c>
      <x:c r="G246" s="7" t="str">
        <x:v>Monthly</x:v>
      </x:c>
      <x:c r="H246" s="7" t="str">
        <x:v>No</x:v>
      </x:c>
      <x:c r="I246" s="9" t="str">
        <x:v>-</x:v>
      </x:c>
      <x:c r="J246" s="7" t="str">
        <x:v>No</x:v>
      </x:c>
      <x:c r="K246" s="9" t="n">
        <x:v>0</x:v>
      </x:c>
      <x:c r="L246" s="9" t="n">
        <x:v>1</x:v>
      </x:c>
      <x:c r="M246" s="9" t="n">
        <x:v>4</x:v>
      </x:c>
    </x:row>
    <x:row r="247">
      <x:c r="A247" s="7" t="n">
        <x:v>3476</x:v>
      </x:c>
      <x:c r="B247" s="7" t="str">
        <x:v>Hélio Costa</x:v>
      </x:c>
      <x:c r="C247" s="7" t="str">
        <x:v>Ultimate</x:v>
      </x:c>
      <x:c r="D247" s="8" t="n">
        <x:v>45593</x:v>
      </x:c>
      <x:c r="E247" s="7" t="str">
        <x:v>Yes</x:v>
      </x:c>
      <x:c r="F247" s="9" t="n">
        <x:v>15</x:v>
      </x:c>
      <x:c r="G247" s="7" t="str">
        <x:v>Quarterly</x:v>
      </x:c>
      <x:c r="H247" s="7" t="str">
        <x:v>Yes</x:v>
      </x:c>
      <x:c r="I247" s="9" t="n">
        <x:v>30</x:v>
      </x:c>
      <x:c r="J247" s="7" t="str">
        <x:v>Yes</x:v>
      </x:c>
      <x:c r="K247" s="9" t="n">
        <x:v>20</x:v>
      </x:c>
      <x:c r="L247" s="9" t="n">
        <x:v>7</x:v>
      </x:c>
      <x:c r="M247" s="9" t="n">
        <x:v>58</x:v>
      </x:c>
    </x:row>
    <x:row r="248">
      <x:c r="A248" s="7" t="n">
        <x:v>3477</x:v>
      </x:c>
      <x:c r="B248" s="7" t="str">
        <x:v>Íris Loureiro</x:v>
      </x:c>
      <x:c r="C248" s="7" t="str">
        <x:v>Standard</x:v>
      </x:c>
      <x:c r="D248" s="8" t="n">
        <x:v>45594</x:v>
      </x:c>
      <x:c r="E248" s="7" t="str">
        <x:v>No</x:v>
      </x:c>
      <x:c r="F248" s="9" t="n">
        <x:v>10</x:v>
      </x:c>
      <x:c r="G248" s="7" t="str">
        <x:v>Monthly</x:v>
      </x:c>
      <x:c r="H248" s="7" t="str">
        <x:v>No</x:v>
      </x:c>
      <x:c r="I248" s="9" t="str">
        <x:v>-</x:v>
      </x:c>
      <x:c r="J248" s="7" t="str">
        <x:v>Yes</x:v>
      </x:c>
      <x:c r="K248" s="9" t="n">
        <x:v>20</x:v>
      </x:c>
      <x:c r="L248" s="9" t="n">
        <x:v>10</x:v>
      </x:c>
      <x:c r="M248" s="9" t="n">
        <x:v>20</x:v>
      </x:c>
    </x:row>
    <x:row r="249">
      <x:c r="A249" s="7" t="n">
        <x:v>3478</x:v>
      </x:c>
      <x:c r="B249" s="7" t="str">
        <x:v>João Pereira</x:v>
      </x:c>
      <x:c r="C249" s="7" t="str">
        <x:v>Core</x:v>
      </x:c>
      <x:c r="D249" s="8" t="n">
        <x:v>45595</x:v>
      </x:c>
      <x:c r="E249" s="7" t="str">
        <x:v>Yes</x:v>
      </x:c>
      <x:c r="F249" s="9" t="n">
        <x:v>5</x:v>
      </x:c>
      <x:c r="G249" s="7" t="str">
        <x:v>Annual</x:v>
      </x:c>
      <x:c r="H249" s="7" t="str">
        <x:v>No</x:v>
      </x:c>
      <x:c r="I249" s="9" t="str">
        <x:v>-</x:v>
      </x:c>
      <x:c r="J249" s="7" t="str">
        <x:v>No</x:v>
      </x:c>
      <x:c r="K249" s="9" t="n">
        <x:v>0</x:v>
      </x:c>
      <x:c r="L249" s="9" t="n">
        <x:v>0</x:v>
      </x:c>
      <x:c r="M249" s="9" t="n">
        <x:v>5</x:v>
      </x:c>
    </x:row>
    <x:row r="250">
      <x:c r="A250" s="7" t="n">
        <x:v>3479</x:v>
      </x:c>
      <x:c r="B250" s="7" t="str">
        <x:v>Klara Silva</x:v>
      </x:c>
      <x:c r="C250" s="7" t="str">
        <x:v>Ultimate</x:v>
      </x:c>
      <x:c r="D250" s="8" t="n">
        <x:v>45596</x:v>
      </x:c>
      <x:c r="E250" s="7" t="str">
        <x:v>No</x:v>
      </x:c>
      <x:c r="F250" s="9" t="n">
        <x:v>15</x:v>
      </x:c>
      <x:c r="G250" s="7" t="str">
        <x:v>Monthly</x:v>
      </x:c>
      <x:c r="H250" s="7" t="str">
        <x:v>Yes</x:v>
      </x:c>
      <x:c r="I250" s="9" t="n">
        <x:v>30</x:v>
      </x:c>
      <x:c r="J250" s="7" t="str">
        <x:v>Yes</x:v>
      </x:c>
      <x:c r="K250" s="9" t="n">
        <x:v>20</x:v>
      </x:c>
      <x:c r="L250" s="9" t="n">
        <x:v>20</x:v>
      </x:c>
      <x:c r="M250" s="9" t="n">
        <x:v>45</x:v>
      </x:c>
    </x:row>
    <x:row r="251">
      <x:c r="A251" s="7" t="n">
        <x:v>3480</x:v>
      </x:c>
      <x:c r="B251" s="7" t="str">
        <x:v>Luciana Barros</x:v>
      </x:c>
      <x:c r="C251" s="7" t="str">
        <x:v>Standard</x:v>
      </x:c>
      <x:c r="D251" s="8" t="n">
        <x:v>45597</x:v>
      </x:c>
      <x:c r="E251" s="7" t="str">
        <x:v>Yes</x:v>
      </x:c>
      <x:c r="F251" s="9" t="n">
        <x:v>10</x:v>
      </x:c>
      <x:c r="G251" s="7" t="str">
        <x:v>Quarterly</x:v>
      </x:c>
      <x:c r="H251" s="7" t="str">
        <x:v>No</x:v>
      </x:c>
      <x:c r="I251" s="9" t="str">
        <x:v>-</x:v>
      </x:c>
      <x:c r="J251" s="7" t="str">
        <x:v>Yes</x:v>
      </x:c>
      <x:c r="K251" s="9" t="n">
        <x:v>20</x:v>
      </x:c>
      <x:c r="L251" s="9" t="n">
        <x:v>15</x:v>
      </x:c>
      <x:c r="M251" s="9" t="n">
        <x:v>15</x:v>
      </x:c>
    </x:row>
    <x:row r="252">
      <x:c r="A252" s="7" t="n">
        <x:v>3481</x:v>
      </x:c>
      <x:c r="B252" s="7" t="str">
        <x:v>Marcos Gomes</x:v>
      </x:c>
      <x:c r="C252" s="7" t="str">
        <x:v>Core</x:v>
      </x:c>
      <x:c r="D252" s="8" t="n">
        <x:v>45598</x:v>
      </x:c>
      <x:c r="E252" s="7" t="str">
        <x:v>No</x:v>
      </x:c>
      <x:c r="F252" s="9" t="n">
        <x:v>5</x:v>
      </x:c>
      <x:c r="G252" s="7" t="str">
        <x:v>Monthly</x:v>
      </x:c>
      <x:c r="H252" s="7" t="str">
        <x:v>No</x:v>
      </x:c>
      <x:c r="I252" s="9" t="str">
        <x:v>-</x:v>
      </x:c>
      <x:c r="J252" s="7" t="str">
        <x:v>No</x:v>
      </x:c>
      <x:c r="K252" s="9" t="n">
        <x:v>0</x:v>
      </x:c>
      <x:c r="L252" s="9" t="n">
        <x:v>1</x:v>
      </x:c>
      <x:c r="M252" s="9" t="n">
        <x:v>4</x:v>
      </x:c>
    </x:row>
    <x:row r="253">
      <x:c r="A253" s="7" t="n">
        <x:v>3482</x:v>
      </x:c>
      <x:c r="B253" s="7" t="str">
        <x:v>Natália Soares</x:v>
      </x:c>
      <x:c r="C253" s="7" t="str">
        <x:v>Ultimate</x:v>
      </x:c>
      <x:c r="D253" s="8" t="n">
        <x:v>45599</x:v>
      </x:c>
      <x:c r="E253" s="7" t="str">
        <x:v>Yes</x:v>
      </x:c>
      <x:c r="F253" s="9" t="n">
        <x:v>15</x:v>
      </x:c>
      <x:c r="G253" s="7" t="str">
        <x:v>Annual</x:v>
      </x:c>
      <x:c r="H253" s="7" t="str">
        <x:v>Yes</x:v>
      </x:c>
      <x:c r="I253" s="9" t="n">
        <x:v>30</x:v>
      </x:c>
      <x:c r="J253" s="7" t="str">
        <x:v>Yes</x:v>
      </x:c>
      <x:c r="K253" s="9" t="n">
        <x:v>20</x:v>
      </x:c>
      <x:c r="L253" s="9" t="n">
        <x:v>3</x:v>
      </x:c>
      <x:c r="M253" s="9" t="n">
        <x:v>62</x:v>
      </x:c>
    </x:row>
    <x:row r="254">
      <x:c r="A254" s="7" t="n">
        <x:v>3483</x:v>
      </x:c>
      <x:c r="B254" s="7" t="str">
        <x:v>Oscar Machado</x:v>
      </x:c>
      <x:c r="C254" s="7" t="str">
        <x:v>Standard</x:v>
      </x:c>
      <x:c r="D254" s="8" t="n">
        <x:v>45600</x:v>
      </x:c>
      <x:c r="E254" s="7" t="str">
        <x:v>No</x:v>
      </x:c>
      <x:c r="F254" s="9" t="n">
        <x:v>10</x:v>
      </x:c>
      <x:c r="G254" s="7" t="str">
        <x:v>Monthly</x:v>
      </x:c>
      <x:c r="H254" s="7" t="str">
        <x:v>No</x:v>
      </x:c>
      <x:c r="I254" s="9" t="str">
        <x:v>-</x:v>
      </x:c>
      <x:c r="J254" s="7" t="str">
        <x:v>Yes</x:v>
      </x:c>
      <x:c r="K254" s="9" t="n">
        <x:v>20</x:v>
      </x:c>
      <x:c r="L254" s="9" t="n">
        <x:v>10</x:v>
      </x:c>
      <x:c r="M254" s="9" t="n">
        <x:v>20</x:v>
      </x:c>
    </x:row>
    <x:row r="255">
      <x:c r="A255" s="7" t="n">
        <x:v>3484</x:v>
      </x:c>
      <x:c r="B255" s="7" t="str">
        <x:v>Patrícia Lima</x:v>
      </x:c>
      <x:c r="C255" s="7" t="str">
        <x:v>Core</x:v>
      </x:c>
      <x:c r="D255" s="8" t="n">
        <x:v>45601</x:v>
      </x:c>
      <x:c r="E255" s="7" t="str">
        <x:v>Yes</x:v>
      </x:c>
      <x:c r="F255" s="9" t="n">
        <x:v>5</x:v>
      </x:c>
      <x:c r="G255" s="7" t="str">
        <x:v>Quarterly</x:v>
      </x:c>
      <x:c r="H255" s="7" t="str">
        <x:v>No</x:v>
      </x:c>
      <x:c r="I255" s="9" t="str">
        <x:v>-</x:v>
      </x:c>
      <x:c r="J255" s="7" t="str">
        <x:v>No</x:v>
      </x:c>
      <x:c r="K255" s="9" t="n">
        <x:v>0</x:v>
      </x:c>
      <x:c r="L255" s="9" t="n">
        <x:v>0</x:v>
      </x:c>
      <x:c r="M255" s="9" t="n">
        <x:v>5</x:v>
      </x:c>
    </x:row>
    <x:row r="256">
      <x:c r="A256" s="7" t="n">
        <x:v>3485</x:v>
      </x:c>
      <x:c r="B256" s="7" t="str">
        <x:v>Quirino Neto</x:v>
      </x:c>
      <x:c r="C256" s="7" t="str">
        <x:v>Ultimate</x:v>
      </x:c>
      <x:c r="D256" s="8" t="n">
        <x:v>45602</x:v>
      </x:c>
      <x:c r="E256" s="7" t="str">
        <x:v>No</x:v>
      </x:c>
      <x:c r="F256" s="9" t="n">
        <x:v>15</x:v>
      </x:c>
      <x:c r="G256" s="7" t="str">
        <x:v>Monthly</x:v>
      </x:c>
      <x:c r="H256" s="7" t="str">
        <x:v>Yes</x:v>
      </x:c>
      <x:c r="I256" s="9" t="n">
        <x:v>30</x:v>
      </x:c>
      <x:c r="J256" s="7" t="str">
        <x:v>Yes</x:v>
      </x:c>
      <x:c r="K256" s="9" t="n">
        <x:v>20</x:v>
      </x:c>
      <x:c r="L256" s="9" t="n">
        <x:v>15</x:v>
      </x:c>
      <x:c r="M256" s="9" t="n">
        <x:v>50</x:v>
      </x:c>
    </x:row>
    <x:row r="257">
      <x:c r="A257" s="7" t="n">
        <x:v>3486</x:v>
      </x:c>
      <x:c r="B257" s="7" t="str">
        <x:v>Rafaela Souza</x:v>
      </x:c>
      <x:c r="C257" s="7" t="str">
        <x:v>Core</x:v>
      </x:c>
      <x:c r="D257" s="8" t="n">
        <x:v>45603</x:v>
      </x:c>
      <x:c r="E257" s="7" t="str">
        <x:v>Yes</x:v>
      </x:c>
      <x:c r="F257" s="9" t="n">
        <x:v>5</x:v>
      </x:c>
      <x:c r="G257" s="7" t="str">
        <x:v>Monthly</x:v>
      </x:c>
      <x:c r="H257" s="7" t="str">
        <x:v>No</x:v>
      </x:c>
      <x:c r="I257" s="9" t="str">
        <x:v>-</x:v>
      </x:c>
      <x:c r="J257" s="7" t="str">
        <x:v>No</x:v>
      </x:c>
      <x:c r="K257" s="9" t="n">
        <x:v>0</x:v>
      </x:c>
      <x:c r="L257" s="9" t="n">
        <x:v>0</x:v>
      </x:c>
      <x:c r="M257" s="9" t="n">
        <x:v>5</x:v>
      </x:c>
    </x:row>
    <x:row r="258">
      <x:c r="A258" s="7" t="n">
        <x:v>3487</x:v>
      </x:c>
      <x:c r="B258" s="7" t="str">
        <x:v>Sandro Almeida</x:v>
      </x:c>
      <x:c r="C258" s="7" t="str">
        <x:v>Ultimate</x:v>
      </x:c>
      <x:c r="D258" s="8" t="n">
        <x:v>45604</x:v>
      </x:c>
      <x:c r="E258" s="7" t="str">
        <x:v>No</x:v>
      </x:c>
      <x:c r="F258" s="9" t="n">
        <x:v>15</x:v>
      </x:c>
      <x:c r="G258" s="7" t="str">
        <x:v>Quarterly</x:v>
      </x:c>
      <x:c r="H258" s="7" t="str">
        <x:v>Yes</x:v>
      </x:c>
      <x:c r="I258" s="9" t="n">
        <x:v>30</x:v>
      </x:c>
      <x:c r="J258" s="7" t="str">
        <x:v>Yes</x:v>
      </x:c>
      <x:c r="K258" s="9" t="n">
        <x:v>20</x:v>
      </x:c>
      <x:c r="L258" s="9" t="n">
        <x:v>7</x:v>
      </x:c>
      <x:c r="M258" s="9" t="n">
        <x:v>58</x:v>
      </x:c>
    </x:row>
    <x:row r="259">
      <x:c r="A259" s="7" t="n">
        <x:v>3488</x:v>
      </x:c>
      <x:c r="B259" s="7" t="str">
        <x:v>Tânia Ribeiro</x:v>
      </x:c>
      <x:c r="C259" s="7" t="str">
        <x:v>Standard</x:v>
      </x:c>
      <x:c r="D259" s="8" t="n">
        <x:v>45605</x:v>
      </x:c>
      <x:c r="E259" s="7" t="str">
        <x:v>Yes</x:v>
      </x:c>
      <x:c r="F259" s="9" t="n">
        <x:v>10</x:v>
      </x:c>
      <x:c r="G259" s="7" t="str">
        <x:v>Annual</x:v>
      </x:c>
      <x:c r="H259" s="7" t="str">
        <x:v>No</x:v>
      </x:c>
      <x:c r="I259" s="9" t="str">
        <x:v>-</x:v>
      </x:c>
      <x:c r="J259" s="7" t="str">
        <x:v>Yes</x:v>
      </x:c>
      <x:c r="K259" s="9" t="n">
        <x:v>20</x:v>
      </x:c>
      <x:c r="L259" s="9" t="n">
        <x:v>10</x:v>
      </x:c>
      <x:c r="M259" s="9" t="n">
        <x:v>20</x:v>
      </x:c>
    </x:row>
    <x:row r="260">
      <x:c r="A260" s="7" t="n">
        <x:v>3489</x:v>
      </x:c>
      <x:c r="B260" s="7" t="str">
        <x:v>Ugo Dias</x:v>
      </x:c>
      <x:c r="C260" s="7" t="str">
        <x:v>Core</x:v>
      </x:c>
      <x:c r="D260" s="8" t="n">
        <x:v>45606</x:v>
      </x:c>
      <x:c r="E260" s="7" t="str">
        <x:v>No</x:v>
      </x:c>
      <x:c r="F260" s="9" t="n">
        <x:v>5</x:v>
      </x:c>
      <x:c r="G260" s="7" t="str">
        <x:v>Quarterly</x:v>
      </x:c>
      <x:c r="H260" s="7" t="str">
        <x:v>No</x:v>
      </x:c>
      <x:c r="I260" s="9" t="str">
        <x:v>-</x:v>
      </x:c>
      <x:c r="J260" s="7" t="str">
        <x:v>No</x:v>
      </x:c>
      <x:c r="K260" s="9" t="n">
        <x:v>0</x:v>
      </x:c>
      <x:c r="L260" s="9" t="n">
        <x:v>1</x:v>
      </x:c>
      <x:c r="M260" s="9" t="n">
        <x:v>4</x:v>
      </x:c>
    </x:row>
    <x:row r="261">
      <x:c r="A261" s="7" t="n">
        <x:v>3490</x:v>
      </x:c>
      <x:c r="B261" s="7" t="str">
        <x:v>Valéria Lima</x:v>
      </x:c>
      <x:c r="C261" s="7" t="str">
        <x:v>Ultimate</x:v>
      </x:c>
      <x:c r="D261" s="8" t="n">
        <x:v>45607</x:v>
      </x:c>
      <x:c r="E261" s="7" t="str">
        <x:v>Yes</x:v>
      </x:c>
      <x:c r="F261" s="9" t="n">
        <x:v>15</x:v>
      </x:c>
      <x:c r="G261" s="7" t="str">
        <x:v>Monthly</x:v>
      </x:c>
      <x:c r="H261" s="7" t="str">
        <x:v>Yes</x:v>
      </x:c>
      <x:c r="I261" s="9" t="n">
        <x:v>30</x:v>
      </x:c>
      <x:c r="J261" s="7" t="str">
        <x:v>Yes</x:v>
      </x:c>
      <x:c r="K261" s="9" t="n">
        <x:v>20</x:v>
      </x:c>
      <x:c r="L261" s="9" t="n">
        <x:v>15</x:v>
      </x:c>
      <x:c r="M261" s="9" t="n">
        <x:v>50</x:v>
      </x:c>
    </x:row>
    <x:row r="262">
      <x:c r="A262" s="7" t="n">
        <x:v>3491</x:v>
      </x:c>
      <x:c r="B262" s="7" t="str">
        <x:v>William Fernandes</x:v>
      </x:c>
      <x:c r="C262" s="7" t="str">
        <x:v>Standard</x:v>
      </x:c>
      <x:c r="D262" s="8" t="n">
        <x:v>45608</x:v>
      </x:c>
      <x:c r="E262" s="7" t="str">
        <x:v>No</x:v>
      </x:c>
      <x:c r="F262" s="9" t="n">
        <x:v>10</x:v>
      </x:c>
      <x:c r="G262" s="7" t="str">
        <x:v>Monthly</x:v>
      </x:c>
      <x:c r="H262" s="7" t="str">
        <x:v>No</x:v>
      </x:c>
      <x:c r="I262" s="9" t="str">
        <x:v>-</x:v>
      </x:c>
      <x:c r="J262" s="7" t="str">
        <x:v>Yes</x:v>
      </x:c>
      <x:c r="K262" s="9" t="n">
        <x:v>20</x:v>
      </x:c>
      <x:c r="L262" s="9" t="n">
        <x:v>5</x:v>
      </x:c>
      <x:c r="M262" s="9" t="n">
        <x:v>25</x:v>
      </x:c>
    </x:row>
    <x:row r="263">
      <x:c r="A263" s="7" t="n">
        <x:v>3492</x:v>
      </x:c>
      <x:c r="B263" s="7" t="str">
        <x:v>Xuxa Mendes</x:v>
      </x:c>
      <x:c r="C263" s="7" t="str">
        <x:v>Core</x:v>
      </x:c>
      <x:c r="D263" s="8" t="n">
        <x:v>45609</x:v>
      </x:c>
      <x:c r="E263" s="7" t="str">
        <x:v>Yes</x:v>
      </x:c>
      <x:c r="F263" s="9" t="n">
        <x:v>5</x:v>
      </x:c>
      <x:c r="G263" s="7" t="str">
        <x:v>Annual</x:v>
      </x:c>
      <x:c r="H263" s="7" t="str">
        <x:v>No</x:v>
      </x:c>
      <x:c r="I263" s="9" t="str">
        <x:v>-</x:v>
      </x:c>
      <x:c r="J263" s="7" t="str">
        <x:v>No</x:v>
      </x:c>
      <x:c r="K263" s="9" t="n">
        <x:v>0</x:v>
      </x:c>
      <x:c r="L263" s="9" t="n">
        <x:v>0</x:v>
      </x:c>
      <x:c r="M263" s="9" t="n">
        <x:v>5</x:v>
      </x:c>
    </x:row>
    <x:row r="264">
      <x:c r="A264" s="7" t="n">
        <x:v>3493</x:v>
      </x:c>
      <x:c r="B264" s="7" t="str">
        <x:v>Ygor Farias</x:v>
      </x:c>
      <x:c r="C264" s="7" t="str">
        <x:v>Ultimate</x:v>
      </x:c>
      <x:c r="D264" s="8" t="n">
        <x:v>45610</x:v>
      </x:c>
      <x:c r="E264" s="7" t="str">
        <x:v>No</x:v>
      </x:c>
      <x:c r="F264" s="9" t="n">
        <x:v>15</x:v>
      </x:c>
      <x:c r="G264" s="7" t="str">
        <x:v>Quarterly</x:v>
      </x:c>
      <x:c r="H264" s="7" t="str">
        <x:v>Yes</x:v>
      </x:c>
      <x:c r="I264" s="9" t="n">
        <x:v>30</x:v>
      </x:c>
      <x:c r="J264" s="7" t="str">
        <x:v>Yes</x:v>
      </x:c>
      <x:c r="K264" s="9" t="n">
        <x:v>20</x:v>
      </x:c>
      <x:c r="L264" s="9" t="n">
        <x:v>20</x:v>
      </x:c>
      <x:c r="M264" s="9" t="n">
        <x:v>45</x:v>
      </x:c>
    </x:row>
    <x:row r="265">
      <x:c r="A265" s="7" t="n">
        <x:v>3494</x:v>
      </x:c>
      <x:c r="B265" s="7" t="str">
        <x:v>Zilda Barros</x:v>
      </x:c>
      <x:c r="C265" s="7" t="str">
        <x:v>Standard</x:v>
      </x:c>
      <x:c r="D265" s="8" t="n">
        <x:v>45611</x:v>
      </x:c>
      <x:c r="E265" s="7" t="str">
        <x:v>Yes</x:v>
      </x:c>
      <x:c r="F265" s="9" t="n">
        <x:v>10</x:v>
      </x:c>
      <x:c r="G265" s="7" t="str">
        <x:v>Quarterly</x:v>
      </x:c>
      <x:c r="H265" s="7" t="str">
        <x:v>No</x:v>
      </x:c>
      <x:c r="I265" s="9" t="str">
        <x:v>-</x:v>
      </x:c>
      <x:c r="J265" s="7" t="str">
        <x:v>Yes</x:v>
      </x:c>
      <x:c r="K265" s="9" t="n">
        <x:v>20</x:v>
      </x:c>
      <x:c r="L265" s="9" t="n">
        <x:v>12</x:v>
      </x:c>
      <x:c r="M265" s="9" t="n">
        <x:v>18</x:v>
      </x:c>
    </x:row>
    <x:row r="266">
      <x:c r="A266" s="7" t="n">
        <x:v>3495</x:v>
      </x:c>
      <x:c r="B266" s="7" t="str">
        <x:v>Amanda Santos</x:v>
      </x:c>
      <x:c r="C266" s="7" t="str">
        <x:v>Core</x:v>
      </x:c>
      <x:c r="D266" s="8" t="n">
        <x:v>45612</x:v>
      </x:c>
      <x:c r="E266" s="7" t="str">
        <x:v>No</x:v>
      </x:c>
      <x:c r="F266" s="9" t="n">
        <x:v>5</x:v>
      </x:c>
      <x:c r="G266" s="7" t="str">
        <x:v>Monthly</x:v>
      </x:c>
      <x:c r="H266" s="7" t="str">
        <x:v>No</x:v>
      </x:c>
      <x:c r="I266" s="9" t="str">
        <x:v>-</x:v>
      </x:c>
      <x:c r="J266" s="7" t="str">
        <x:v>No</x:v>
      </x:c>
      <x:c r="K266" s="9" t="n">
        <x:v>0</x:v>
      </x:c>
      <x:c r="L266" s="9" t="n">
        <x:v>2</x:v>
      </x:c>
      <x:c r="M266" s="9" t="n">
        <x:v>3</x:v>
      </x:c>
    </x:row>
    <x:row r="267">
      <x:c r="A267" s="7" t="n">
        <x:v>3496</x:v>
      </x:c>
      <x:c r="B267" s="7" t="str">
        <x:v>Bruno Costa</x:v>
      </x:c>
      <x:c r="C267" s="7" t="str">
        <x:v>Ultimate</x:v>
      </x:c>
      <x:c r="D267" s="8" t="n">
        <x:v>45613</x:v>
      </x:c>
      <x:c r="E267" s="7" t="str">
        <x:v>Yes</x:v>
      </x:c>
      <x:c r="F267" s="9" t="n">
        <x:v>15</x:v>
      </x:c>
      <x:c r="G267" s="7" t="str">
        <x:v>Annual</x:v>
      </x:c>
      <x:c r="H267" s="7" t="str">
        <x:v>Yes</x:v>
      </x:c>
      <x:c r="I267" s="9" t="n">
        <x:v>30</x:v>
      </x:c>
      <x:c r="J267" s="7" t="str">
        <x:v>Yes</x:v>
      </x:c>
      <x:c r="K267" s="9" t="n">
        <x:v>20</x:v>
      </x:c>
      <x:c r="L267" s="9" t="n">
        <x:v>5</x:v>
      </x:c>
      <x:c r="M267" s="9" t="n">
        <x:v>60</x:v>
      </x:c>
    </x:row>
    <x:row r="268">
      <x:c r="A268" s="7" t="n">
        <x:v>3497</x:v>
      </x:c>
      <x:c r="B268" s="7" t="str">
        <x:v>Carla Rodrigues</x:v>
      </x:c>
      <x:c r="C268" s="7" t="str">
        <x:v>Standard</x:v>
      </x:c>
      <x:c r="D268" s="8" t="n">
        <x:v>45614</x:v>
      </x:c>
      <x:c r="E268" s="7" t="str">
        <x:v>No</x:v>
      </x:c>
      <x:c r="F268" s="9" t="n">
        <x:v>10</x:v>
      </x:c>
      <x:c r="G268" s="7" t="str">
        <x:v>Monthly</x:v>
      </x:c>
      <x:c r="H268" s="7" t="str">
        <x:v>No</x:v>
      </x:c>
      <x:c r="I268" s="9" t="str">
        <x:v>-</x:v>
      </x:c>
      <x:c r="J268" s="7" t="str">
        <x:v>Yes</x:v>
      </x:c>
      <x:c r="K268" s="9" t="n">
        <x:v>20</x:v>
      </x:c>
      <x:c r="L268" s="9" t="n">
        <x:v>10</x:v>
      </x:c>
      <x:c r="M268" s="9" t="n">
        <x:v>20</x:v>
      </x:c>
    </x:row>
    <x:row r="269">
      <x:c r="A269" s="7" t="n">
        <x:v>3498</x:v>
      </x:c>
      <x:c r="B269" s="7" t="str">
        <x:v>Diogo Pereira</x:v>
      </x:c>
      <x:c r="C269" s="7" t="str">
        <x:v>Core</x:v>
      </x:c>
      <x:c r="D269" s="8" t="n">
        <x:v>45615</x:v>
      </x:c>
      <x:c r="E269" s="7" t="str">
        <x:v>Yes</x:v>
      </x:c>
      <x:c r="F269" s="9" t="n">
        <x:v>5</x:v>
      </x:c>
      <x:c r="G269" s="7" t="str">
        <x:v>Quarterly</x:v>
      </x:c>
      <x:c r="H269" s="7" t="str">
        <x:v>No</x:v>
      </x:c>
      <x:c r="I269" s="9" t="str">
        <x:v>-</x:v>
      </x:c>
      <x:c r="J269" s="7" t="str">
        <x:v>No</x:v>
      </x:c>
      <x:c r="K269" s="9" t="n">
        <x:v>0</x:v>
      </x:c>
      <x:c r="L269" s="9" t="n">
        <x:v>0</x:v>
      </x:c>
      <x:c r="M269" s="9" t="n">
        <x:v>5</x:v>
      </x:c>
    </x:row>
    <x:row r="270">
      <x:c r="A270" s="7" t="n">
        <x:v>3499</x:v>
      </x:c>
      <x:c r="B270" s="7" t="str">
        <x:v>Elisa Correia</x:v>
      </x:c>
      <x:c r="C270" s="7" t="str">
        <x:v>Ultimate</x:v>
      </x:c>
      <x:c r="D270" s="8" t="n">
        <x:v>45616</x:v>
      </x:c>
      <x:c r="E270" s="7" t="str">
        <x:v>No</x:v>
      </x:c>
      <x:c r="F270" s="9" t="n">
        <x:v>15</x:v>
      </x:c>
      <x:c r="G270" s="7" t="str">
        <x:v>Monthly</x:v>
      </x:c>
      <x:c r="H270" s="7" t="str">
        <x:v>Yes</x:v>
      </x:c>
      <x:c r="I270" s="9" t="n">
        <x:v>30</x:v>
      </x:c>
      <x:c r="J270" s="7" t="str">
        <x:v>Yes</x:v>
      </x:c>
      <x:c r="K270" s="9" t="n">
        <x:v>20</x:v>
      </x:c>
      <x:c r="L270" s="9" t="n">
        <x:v>3</x:v>
      </x:c>
      <x:c r="M270" s="9" t="n">
        <x:v>62</x:v>
      </x:c>
    </x:row>
    <x:row r="271">
      <x:c r="A271" s="7" t="n">
        <x:v>3500</x:v>
      </x:c>
      <x:c r="B271" s="7" t="str">
        <x:v>Fábio Lourenço</x:v>
      </x:c>
      <x:c r="C271" s="7" t="str">
        <x:v>Standard</x:v>
      </x:c>
      <x:c r="D271" s="8" t="n">
        <x:v>45617</x:v>
      </x:c>
      <x:c r="E271" s="7" t="str">
        <x:v>Yes</x:v>
      </x:c>
      <x:c r="F271" s="9" t="n">
        <x:v>10</x:v>
      </x:c>
      <x:c r="G271" s="7" t="str">
        <x:v>Annual</x:v>
      </x:c>
      <x:c r="H271" s="7" t="str">
        <x:v>No</x:v>
      </x:c>
      <x:c r="I271" s="9" t="str">
        <x:v>-</x:v>
      </x:c>
      <x:c r="J271" s="7" t="str">
        <x:v>Yes</x:v>
      </x:c>
      <x:c r="K271" s="9" t="n">
        <x:v>20</x:v>
      </x:c>
      <x:c r="L271" s="9" t="n">
        <x:v>15</x:v>
      </x:c>
      <x:c r="M271" s="9" t="n">
        <x:v>15</x:v>
      </x:c>
    </x:row>
    <x:row r="272">
      <x:c r="A272" s="7" t="n">
        <x:v>3501</x:v>
      </x:c>
      <x:c r="B272" s="7" t="str">
        <x:v>Gabriela Neves</x:v>
      </x:c>
      <x:c r="C272" s="7" t="str">
        <x:v>Core</x:v>
      </x:c>
      <x:c r="D272" s="8" t="n">
        <x:v>45618</x:v>
      </x:c>
      <x:c r="E272" s="7" t="str">
        <x:v>No</x:v>
      </x:c>
      <x:c r="F272" s="9" t="n">
        <x:v>5</x:v>
      </x:c>
      <x:c r="G272" s="7" t="str">
        <x:v>Monthly</x:v>
      </x:c>
      <x:c r="H272" s="7" t="str">
        <x:v>No</x:v>
      </x:c>
      <x:c r="I272" s="9" t="str">
        <x:v>-</x:v>
      </x:c>
      <x:c r="J272" s="7" t="str">
        <x:v>No</x:v>
      </x:c>
      <x:c r="K272" s="9" t="n">
        <x:v>0</x:v>
      </x:c>
      <x:c r="L272" s="9" t="n">
        <x:v>1</x:v>
      </x:c>
      <x:c r="M272" s="9" t="n">
        <x:v>4</x:v>
      </x:c>
    </x:row>
    <x:row r="273">
      <x:c r="A273" s="7" t="n">
        <x:v>3502</x:v>
      </x:c>
      <x:c r="B273" s="7" t="str">
        <x:v>Henrique Gonçalves</x:v>
      </x:c>
      <x:c r="C273" s="7" t="str">
        <x:v>Ultimate</x:v>
      </x:c>
      <x:c r="D273" s="8" t="n">
        <x:v>45619</x:v>
      </x:c>
      <x:c r="E273" s="7" t="str">
        <x:v>Yes</x:v>
      </x:c>
      <x:c r="F273" s="9" t="n">
        <x:v>15</x:v>
      </x:c>
      <x:c r="G273" s="7" t="str">
        <x:v>Quarterly</x:v>
      </x:c>
      <x:c r="H273" s="7" t="str">
        <x:v>Yes</x:v>
      </x:c>
      <x:c r="I273" s="9" t="n">
        <x:v>30</x:v>
      </x:c>
      <x:c r="J273" s="7" t="str">
        <x:v>Yes</x:v>
      </x:c>
      <x:c r="K273" s="9" t="n">
        <x:v>20</x:v>
      </x:c>
      <x:c r="L273" s="9" t="n">
        <x:v>7</x:v>
      </x:c>
      <x:c r="M273" s="9" t="n">
        <x:v>58</x:v>
      </x:c>
    </x:row>
    <x:row r="274">
      <x:c r="A274" s="7" t="n">
        <x:v>3503</x:v>
      </x:c>
      <x:c r="B274" s="7" t="str">
        <x:v>Íris Santos</x:v>
      </x:c>
      <x:c r="C274" s="7" t="str">
        <x:v>Standard</x:v>
      </x:c>
      <x:c r="D274" s="8" t="n">
        <x:v>45620</x:v>
      </x:c>
      <x:c r="E274" s="7" t="str">
        <x:v>No</x:v>
      </x:c>
      <x:c r="F274" s="9" t="n">
        <x:v>10</x:v>
      </x:c>
      <x:c r="G274" s="7" t="str">
        <x:v>Monthly</x:v>
      </x:c>
      <x:c r="H274" s="7" t="str">
        <x:v>No</x:v>
      </x:c>
      <x:c r="I274" s="9" t="str">
        <x:v>-</x:v>
      </x:c>
      <x:c r="J274" s="7" t="str">
        <x:v>Yes</x:v>
      </x:c>
      <x:c r="K274" s="9" t="n">
        <x:v>20</x:v>
      </x:c>
      <x:c r="L274" s="9" t="n">
        <x:v>10</x:v>
      </x:c>
      <x:c r="M274" s="9" t="n">
        <x:v>20</x:v>
      </x:c>
    </x:row>
    <x:row r="275">
      <x:c r="A275" s="7" t="n">
        <x:v>3504</x:v>
      </x:c>
      <x:c r="B275" s="7" t="str">
        <x:v>João Marcelo Alves</x:v>
      </x:c>
      <x:c r="C275" s="7" t="str">
        <x:v>Core</x:v>
      </x:c>
      <x:c r="D275" s="8" t="n">
        <x:v>45621</x:v>
      </x:c>
      <x:c r="E275" s="7" t="str">
        <x:v>Yes</x:v>
      </x:c>
      <x:c r="F275" s="9" t="n">
        <x:v>5</x:v>
      </x:c>
      <x:c r="G275" s="7" t="str">
        <x:v>Annual</x:v>
      </x:c>
      <x:c r="H275" s="7" t="str">
        <x:v>No</x:v>
      </x:c>
      <x:c r="I275" s="9" t="str">
        <x:v>-</x:v>
      </x:c>
      <x:c r="J275" s="7" t="str">
        <x:v>No</x:v>
      </x:c>
      <x:c r="K275" s="9" t="n">
        <x:v>0</x:v>
      </x:c>
      <x:c r="L275" s="9" t="n">
        <x:v>0</x:v>
      </x:c>
      <x:c r="M275" s="9" t="n">
        <x:v>5</x:v>
      </x:c>
    </x:row>
    <x:row r="276">
      <x:c r="A276" s="7" t="n">
        <x:v>3505</x:v>
      </x:c>
      <x:c r="B276" s="7" t="str">
        <x:v>Klara Fonseca</x:v>
      </x:c>
      <x:c r="C276" s="7" t="str">
        <x:v>Ultimate</x:v>
      </x:c>
      <x:c r="D276" s="8" t="n">
        <x:v>45622</x:v>
      </x:c>
      <x:c r="E276" s="7" t="str">
        <x:v>No</x:v>
      </x:c>
      <x:c r="F276" s="9" t="n">
        <x:v>15</x:v>
      </x:c>
      <x:c r="G276" s="7" t="str">
        <x:v>Monthly</x:v>
      </x:c>
      <x:c r="H276" s="7" t="str">
        <x:v>Yes</x:v>
      </x:c>
      <x:c r="I276" s="9" t="n">
        <x:v>30</x:v>
      </x:c>
      <x:c r="J276" s="7" t="str">
        <x:v>Yes</x:v>
      </x:c>
      <x:c r="K276" s="9" t="n">
        <x:v>20</x:v>
      </x:c>
      <x:c r="L276" s="9" t="n">
        <x:v>20</x:v>
      </x:c>
      <x:c r="M276" s="9" t="n">
        <x:v>45</x:v>
      </x:c>
    </x:row>
    <x:row r="277">
      <x:c r="A277" s="7" t="n">
        <x:v>3506</x:v>
      </x:c>
      <x:c r="B277" s="7" t="str">
        <x:v>Lucas Mendonça</x:v>
      </x:c>
      <x:c r="C277" s="7" t="str">
        <x:v>Standard</x:v>
      </x:c>
      <x:c r="D277" s="8" t="n">
        <x:v>45623</x:v>
      </x:c>
      <x:c r="E277" s="7" t="str">
        <x:v>Yes</x:v>
      </x:c>
      <x:c r="F277" s="9" t="n">
        <x:v>10</x:v>
      </x:c>
      <x:c r="G277" s="7" t="str">
        <x:v>Quarterly</x:v>
      </x:c>
      <x:c r="H277" s="7" t="str">
        <x:v>No</x:v>
      </x:c>
      <x:c r="I277" s="9" t="str">
        <x:v>-</x:v>
      </x:c>
      <x:c r="J277" s="7" t="str">
        <x:v>Yes</x:v>
      </x:c>
      <x:c r="K277" s="9" t="n">
        <x:v>20</x:v>
      </x:c>
      <x:c r="L277" s="9" t="n">
        <x:v>15</x:v>
      </x:c>
      <x:c r="M277" s="9" t="n">
        <x:v>15</x:v>
      </x:c>
    </x:row>
    <x:row r="278">
      <x:c r="A278" s="7" t="n">
        <x:v>3507</x:v>
      </x:c>
      <x:c r="B278" s="7" t="str">
        <x:v>Marcela Torres</x:v>
      </x:c>
      <x:c r="C278" s="7" t="str">
        <x:v>Core</x:v>
      </x:c>
      <x:c r="D278" s="8" t="n">
        <x:v>45624</x:v>
      </x:c>
      <x:c r="E278" s="7" t="str">
        <x:v>No</x:v>
      </x:c>
      <x:c r="F278" s="9" t="n">
        <x:v>5</x:v>
      </x:c>
      <x:c r="G278" s="7" t="str">
        <x:v>Monthly</x:v>
      </x:c>
      <x:c r="H278" s="7" t="str">
        <x:v>No</x:v>
      </x:c>
      <x:c r="I278" s="9" t="str">
        <x:v>-</x:v>
      </x:c>
      <x:c r="J278" s="7" t="str">
        <x:v>No</x:v>
      </x:c>
      <x:c r="K278" s="9" t="n">
        <x:v>0</x:v>
      </x:c>
      <x:c r="L278" s="9" t="n">
        <x:v>1</x:v>
      </x:c>
      <x:c r="M278" s="9" t="n">
        <x:v>4</x:v>
      </x:c>
    </x:row>
    <x:row r="279">
      <x:c r="A279" s="7" t="n">
        <x:v>3508</x:v>
      </x:c>
      <x:c r="B279" s="7" t="str">
        <x:v>Natália Castro</x:v>
      </x:c>
      <x:c r="C279" s="7" t="str">
        <x:v>Ultimate</x:v>
      </x:c>
      <x:c r="D279" s="8" t="n">
        <x:v>45625</x:v>
      </x:c>
      <x:c r="E279" s="7" t="str">
        <x:v>Yes</x:v>
      </x:c>
      <x:c r="F279" s="9" t="n">
        <x:v>15</x:v>
      </x:c>
      <x:c r="G279" s="7" t="str">
        <x:v>Annual</x:v>
      </x:c>
      <x:c r="H279" s="7" t="str">
        <x:v>Yes</x:v>
      </x:c>
      <x:c r="I279" s="9" t="n">
        <x:v>30</x:v>
      </x:c>
      <x:c r="J279" s="7" t="str">
        <x:v>Yes</x:v>
      </x:c>
      <x:c r="K279" s="9" t="n">
        <x:v>20</x:v>
      </x:c>
      <x:c r="L279" s="9" t="n">
        <x:v>3</x:v>
      </x:c>
      <x:c r="M279" s="9" t="n">
        <x:v>62</x:v>
      </x:c>
    </x:row>
    <x:row r="280">
      <x:c r="A280" s="7" t="n">
        <x:v>3509</x:v>
      </x:c>
      <x:c r="B280" s="7" t="str">
        <x:v>Oscar Martins</x:v>
      </x:c>
      <x:c r="C280" s="7" t="str">
        <x:v>Standard</x:v>
      </x:c>
      <x:c r="D280" s="8" t="n">
        <x:v>45626</x:v>
      </x:c>
      <x:c r="E280" s="7" t="str">
        <x:v>No</x:v>
      </x:c>
      <x:c r="F280" s="9" t="n">
        <x:v>10</x:v>
      </x:c>
      <x:c r="G280" s="7" t="str">
        <x:v>Monthly</x:v>
      </x:c>
      <x:c r="H280" s="7" t="str">
        <x:v>No</x:v>
      </x:c>
      <x:c r="I280" s="9" t="str">
        <x:v>-</x:v>
      </x:c>
      <x:c r="J280" s="7" t="str">
        <x:v>Yes</x:v>
      </x:c>
      <x:c r="K280" s="9" t="n">
        <x:v>20</x:v>
      </x:c>
      <x:c r="L280" s="9" t="n">
        <x:v>10</x:v>
      </x:c>
      <x:c r="M280" s="9" t="n">
        <x:v>20</x:v>
      </x:c>
    </x:row>
    <x:row r="281">
      <x:c r="A281" s="7" t="n">
        <x:v>3510</x:v>
      </x:c>
      <x:c r="B281" s="7" t="str">
        <x:v>Patrícia Oliveira</x:v>
      </x:c>
      <x:c r="C281" s="7" t="str">
        <x:v>Core</x:v>
      </x:c>
      <x:c r="D281" s="8" t="n">
        <x:v>45627</x:v>
      </x:c>
      <x:c r="E281" s="7" t="str">
        <x:v>Yes</x:v>
      </x:c>
      <x:c r="F281" s="9" t="n">
        <x:v>5</x:v>
      </x:c>
      <x:c r="G281" s="7" t="str">
        <x:v>Quarterly</x:v>
      </x:c>
      <x:c r="H281" s="7" t="str">
        <x:v>No</x:v>
      </x:c>
      <x:c r="I281" s="9" t="str">
        <x:v>-</x:v>
      </x:c>
      <x:c r="J281" s="7" t="str">
        <x:v>No</x:v>
      </x:c>
      <x:c r="K281" s="9" t="n">
        <x:v>0</x:v>
      </x:c>
      <x:c r="L281" s="9" t="n">
        <x:v>0</x:v>
      </x:c>
      <x:c r="M281" s="9" t="n">
        <x:v>5</x:v>
      </x:c>
    </x:row>
    <x:row r="282">
      <x:c r="A282" s="7" t="n">
        <x:v>3511</x:v>
      </x:c>
      <x:c r="B282" s="7" t="str">
        <x:v>Quentin Nogueira</x:v>
      </x:c>
      <x:c r="C282" s="7" t="str">
        <x:v>Ultimate</x:v>
      </x:c>
      <x:c r="D282" s="8" t="n">
        <x:v>45628</x:v>
      </x:c>
      <x:c r="E282" s="7" t="str">
        <x:v>No</x:v>
      </x:c>
      <x:c r="F282" s="9" t="n">
        <x:v>15</x:v>
      </x:c>
      <x:c r="G282" s="7" t="str">
        <x:v>Monthly</x:v>
      </x:c>
      <x:c r="H282" s="7" t="str">
        <x:v>Yes</x:v>
      </x:c>
      <x:c r="I282" s="9" t="n">
        <x:v>30</x:v>
      </x:c>
      <x:c r="J282" s="7" t="str">
        <x:v>Yes</x:v>
      </x:c>
      <x:c r="K282" s="9" t="n">
        <x:v>20</x:v>
      </x:c>
      <x:c r="L282" s="9" t="n">
        <x:v>15</x:v>
      </x:c>
      <x:c r="M282" s="9" t="n">
        <x:v>50</x:v>
      </x:c>
    </x:row>
    <x:row r="283">
      <x:c r="A283" s="7" t="n">
        <x:v>3512</x:v>
      </x:c>
      <x:c r="B283" s="7" t="str">
        <x:v>Raquel Silva</x:v>
      </x:c>
      <x:c r="C283" s="7" t="str">
        <x:v>Standard</x:v>
      </x:c>
      <x:c r="D283" s="8" t="n">
        <x:v>45629</x:v>
      </x:c>
      <x:c r="E283" s="7" t="str">
        <x:v>Yes</x:v>
      </x:c>
      <x:c r="F283" s="9" t="n">
        <x:v>10</x:v>
      </x:c>
      <x:c r="G283" s="7" t="str">
        <x:v>Annual</x:v>
      </x:c>
      <x:c r="H283" s="7" t="str">
        <x:v>No</x:v>
      </x:c>
      <x:c r="I283" s="9" t="str">
        <x:v>-</x:v>
      </x:c>
      <x:c r="J283" s="7" t="str">
        <x:v>Yes</x:v>
      </x:c>
      <x:c r="K283" s="9" t="n">
        <x:v>20</x:v>
      </x:c>
      <x:c r="L283" s="9" t="n">
        <x:v>15</x:v>
      </x:c>
      <x:c r="M283" s="9" t="n">
        <x:v>15</x:v>
      </x:c>
    </x:row>
    <x:row r="284">
      <x:c r="A284" s="7" t="n">
        <x:v>3513</x:v>
      </x:c>
      <x:c r="B284" s="7" t="str">
        <x:v>Sandro Gomes</x:v>
      </x:c>
      <x:c r="C284" s="7" t="str">
        <x:v>Core</x:v>
      </x:c>
      <x:c r="D284" s="8" t="n">
        <x:v>45630</x:v>
      </x:c>
      <x:c r="E284" s="7" t="str">
        <x:v>No</x:v>
      </x:c>
      <x:c r="F284" s="9" t="n">
        <x:v>5</x:v>
      </x:c>
      <x:c r="G284" s="7" t="str">
        <x:v>Monthly</x:v>
      </x:c>
      <x:c r="H284" s="7" t="str">
        <x:v>No</x:v>
      </x:c>
      <x:c r="I284" s="9" t="str">
        <x:v>-</x:v>
      </x:c>
      <x:c r="J284" s="7" t="str">
        <x:v>No</x:v>
      </x:c>
      <x:c r="K284" s="9" t="n">
        <x:v>0</x:v>
      </x:c>
      <x:c r="L284" s="9" t="n">
        <x:v>1</x:v>
      </x:c>
      <x:c r="M284" s="9" t="n">
        <x:v>4</x:v>
      </x:c>
    </x:row>
    <x:row r="285">
      <x:c r="A285" s="7" t="n">
        <x:v>3514</x:v>
      </x:c>
      <x:c r="B285" s="7" t="str">
        <x:v>Tânia Machado</x:v>
      </x:c>
      <x:c r="C285" s="7" t="str">
        <x:v>Ultimate</x:v>
      </x:c>
      <x:c r="D285" s="8" t="n">
        <x:v>45631</x:v>
      </x:c>
      <x:c r="E285" s="7" t="str">
        <x:v>Yes</x:v>
      </x:c>
      <x:c r="F285" s="9" t="n">
        <x:v>15</x:v>
      </x:c>
      <x:c r="G285" s="7" t="str">
        <x:v>Quarterly</x:v>
      </x:c>
      <x:c r="H285" s="7" t="str">
        <x:v>Yes</x:v>
      </x:c>
      <x:c r="I285" s="9" t="n">
        <x:v>30</x:v>
      </x:c>
      <x:c r="J285" s="7" t="str">
        <x:v>Yes</x:v>
      </x:c>
      <x:c r="K285" s="9" t="n">
        <x:v>20</x:v>
      </x:c>
      <x:c r="L285" s="9" t="n">
        <x:v>7</x:v>
      </x:c>
      <x:c r="M285" s="9" t="n">
        <x:v>58</x:v>
      </x:c>
    </x:row>
    <x:row r="286">
      <x:c r="A286" s="7" t="n">
        <x:v>3515</x:v>
      </x:c>
      <x:c r="B286" s="7" t="str">
        <x:v>Ursula Silva</x:v>
      </x:c>
      <x:c r="C286" s="7" t="str">
        <x:v>Standard</x:v>
      </x:c>
      <x:c r="D286" s="8" t="n">
        <x:v>45632</x:v>
      </x:c>
      <x:c r="E286" s="7" t="str">
        <x:v>No</x:v>
      </x:c>
      <x:c r="F286" s="9" t="n">
        <x:v>10</x:v>
      </x:c>
      <x:c r="G286" s="7" t="str">
        <x:v>Monthly</x:v>
      </x:c>
      <x:c r="H286" s="7" t="str">
        <x:v>No</x:v>
      </x:c>
      <x:c r="I286" s="9" t="str">
        <x:v>-</x:v>
      </x:c>
      <x:c r="J286" s="7" t="str">
        <x:v>Yes</x:v>
      </x:c>
      <x:c r="K286" s="9" t="n">
        <x:v>20</x:v>
      </x:c>
      <x:c r="L286" s="9" t="n">
        <x:v>10</x:v>
      </x:c>
      <x:c r="M286" s="9" t="n">
        <x:v>20</x:v>
      </x:c>
    </x:row>
    <x:row r="287">
      <x:c r="A287" s="7" t="n">
        <x:v>3516</x:v>
      </x:c>
      <x:c r="B287" s="7" t="str">
        <x:v>Vanessa Moraes</x:v>
      </x:c>
      <x:c r="C287" s="7" t="str">
        <x:v>Core</x:v>
      </x:c>
      <x:c r="D287" s="8" t="n">
        <x:v>45633</x:v>
      </x:c>
      <x:c r="E287" s="7" t="str">
        <x:v>Yes</x:v>
      </x:c>
      <x:c r="F287" s="9" t="n">
        <x:v>5</x:v>
      </x:c>
      <x:c r="G287" s="7" t="str">
        <x:v>Annual</x:v>
      </x:c>
      <x:c r="H287" s="7" t="str">
        <x:v>No</x:v>
      </x:c>
      <x:c r="I287" s="9" t="str">
        <x:v>-</x:v>
      </x:c>
      <x:c r="J287" s="7" t="str">
        <x:v>No</x:v>
      </x:c>
      <x:c r="K287" s="9" t="n">
        <x:v>0</x:v>
      </x:c>
      <x:c r="L287" s="9" t="n">
        <x:v>0</x:v>
      </x:c>
      <x:c r="M287" s="9" t="n">
        <x:v>5</x:v>
      </x:c>
    </x:row>
    <x:row r="288">
      <x:c r="A288" s="7" t="n">
        <x:v>3517</x:v>
      </x:c>
      <x:c r="B288" s="7" t="str">
        <x:v>William Carvalho</x:v>
      </x:c>
      <x:c r="C288" s="7" t="str">
        <x:v>Ultimate</x:v>
      </x:c>
      <x:c r="D288" s="8" t="n">
        <x:v>45634</x:v>
      </x:c>
      <x:c r="E288" s="7" t="str">
        <x:v>No</x:v>
      </x:c>
      <x:c r="F288" s="9" t="n">
        <x:v>15</x:v>
      </x:c>
      <x:c r="G288" s="7" t="str">
        <x:v>Monthly</x:v>
      </x:c>
      <x:c r="H288" s="7" t="str">
        <x:v>Yes</x:v>
      </x:c>
      <x:c r="I288" s="9" t="n">
        <x:v>30</x:v>
      </x:c>
      <x:c r="J288" s="7" t="str">
        <x:v>Yes</x:v>
      </x:c>
      <x:c r="K288" s="9" t="n">
        <x:v>20</x:v>
      </x:c>
      <x:c r="L288" s="9" t="n">
        <x:v>20</x:v>
      </x:c>
      <x:c r="M288" s="9" t="n">
        <x:v>45</x:v>
      </x:c>
    </x:row>
    <x:row r="289">
      <x:c r="A289" s="7" t="n">
        <x:v>3518</x:v>
      </x:c>
      <x:c r="B289" s="7" t="str">
        <x:v>Xavier Reis</x:v>
      </x:c>
      <x:c r="C289" s="7" t="str">
        <x:v>Standard</x:v>
      </x:c>
      <x:c r="D289" s="8" t="n">
        <x:v>45635</x:v>
      </x:c>
      <x:c r="E289" s="7" t="str">
        <x:v>Yes</x:v>
      </x:c>
      <x:c r="F289" s="9" t="n">
        <x:v>10</x:v>
      </x:c>
      <x:c r="G289" s="7" t="str">
        <x:v>Quarterly</x:v>
      </x:c>
      <x:c r="H289" s="7" t="str">
        <x:v>No</x:v>
      </x:c>
      <x:c r="I289" s="9" t="str">
        <x:v>-</x:v>
      </x:c>
      <x:c r="J289" s="7" t="str">
        <x:v>Yes</x:v>
      </x:c>
      <x:c r="K289" s="9" t="n">
        <x:v>20</x:v>
      </x:c>
      <x:c r="L289" s="9" t="n">
        <x:v>12</x:v>
      </x:c>
      <x:c r="M289" s="9" t="n">
        <x:v>18</x:v>
      </x:c>
    </x:row>
    <x:row r="290">
      <x:c r="A290" s="7" t="n">
        <x:v>3519</x:v>
      </x:c>
      <x:c r="B290" s="7" t="str">
        <x:v>Yasmin Rocha</x:v>
      </x:c>
      <x:c r="C290" s="7" t="str">
        <x:v>Core</x:v>
      </x:c>
      <x:c r="D290" s="8" t="n">
        <x:v>45636</x:v>
      </x:c>
      <x:c r="E290" s="7" t="str">
        <x:v>No</x:v>
      </x:c>
      <x:c r="F290" s="9" t="n">
        <x:v>5</x:v>
      </x:c>
      <x:c r="G290" s="7" t="str">
        <x:v>Monthly</x:v>
      </x:c>
      <x:c r="H290" s="7" t="str">
        <x:v>No</x:v>
      </x:c>
      <x:c r="I290" s="9" t="str">
        <x:v>-</x:v>
      </x:c>
      <x:c r="J290" s="7" t="str">
        <x:v>No</x:v>
      </x:c>
      <x:c r="K290" s="9" t="n">
        <x:v>0</x:v>
      </x:c>
      <x:c r="L290" s="9" t="n">
        <x:v>2</x:v>
      </x:c>
      <x:c r="M290" s="9" t="n">
        <x:v>3</x:v>
      </x:c>
    </x:row>
    <x:row r="291">
      <x:c r="A291" s="7" t="n">
        <x:v>3520</x:v>
      </x:c>
      <x:c r="B291" s="7" t="str">
        <x:v>Zacarias Duarte</x:v>
      </x:c>
      <x:c r="C291" s="7" t="str">
        <x:v>Ultimate</x:v>
      </x:c>
      <x:c r="D291" s="8" t="n">
        <x:v>45637</x:v>
      </x:c>
      <x:c r="E291" s="7" t="str">
        <x:v>Yes</x:v>
      </x:c>
      <x:c r="F291" s="9" t="n">
        <x:v>15</x:v>
      </x:c>
      <x:c r="G291" s="7" t="str">
        <x:v>Annual</x:v>
      </x:c>
      <x:c r="H291" s="7" t="str">
        <x:v>Yes</x:v>
      </x:c>
      <x:c r="I291" s="9" t="n">
        <x:v>30</x:v>
      </x:c>
      <x:c r="J291" s="7" t="str">
        <x:v>Yes</x:v>
      </x:c>
      <x:c r="K291" s="9" t="n">
        <x:v>20</x:v>
      </x:c>
      <x:c r="L291" s="9" t="n">
        <x:v>5</x:v>
      </x:c>
      <x:c r="M291" s="9" t="n">
        <x:v>60</x:v>
      </x:c>
    </x:row>
    <x:row r="292">
      <x:c r="A292" s="7" t="n">
        <x:v>3521</x:v>
      </x:c>
      <x:c r="B292" s="7" t="str">
        <x:v>Amanda Freitas</x:v>
      </x:c>
      <x:c r="C292" s="7" t="str">
        <x:v>Standard</x:v>
      </x:c>
      <x:c r="D292" s="8" t="n">
        <x:v>45638</x:v>
      </x:c>
      <x:c r="E292" s="7" t="str">
        <x:v>No</x:v>
      </x:c>
      <x:c r="F292" s="9" t="n">
        <x:v>10</x:v>
      </x:c>
      <x:c r="G292" s="7" t="str">
        <x:v>Monthly</x:v>
      </x:c>
      <x:c r="H292" s="7" t="str">
        <x:v>No</x:v>
      </x:c>
      <x:c r="I292" s="9" t="str">
        <x:v>-</x:v>
      </x:c>
      <x:c r="J292" s="7" t="str">
        <x:v>Yes</x:v>
      </x:c>
      <x:c r="K292" s="9" t="n">
        <x:v>20</x:v>
      </x:c>
      <x:c r="L292" s="9" t="n">
        <x:v>10</x:v>
      </x:c>
      <x:c r="M292" s="9" t="n">
        <x:v>20</x:v>
      </x:c>
    </x:row>
    <x:row r="293">
      <x:c r="A293" s="7" t="n">
        <x:v>3522</x:v>
      </x:c>
      <x:c r="B293" s="7" t="str">
        <x:v>Bruno Almeida</x:v>
      </x:c>
      <x:c r="C293" s="7" t="str">
        <x:v>Core</x:v>
      </x:c>
      <x:c r="D293" s="8" t="n">
        <x:v>45639</x:v>
      </x:c>
      <x:c r="E293" s="7" t="str">
        <x:v>Yes</x:v>
      </x:c>
      <x:c r="F293" s="9" t="n">
        <x:v>5</x:v>
      </x:c>
      <x:c r="G293" s="7" t="str">
        <x:v>Quarterly</x:v>
      </x:c>
      <x:c r="H293" s="7" t="str">
        <x:v>No</x:v>
      </x:c>
      <x:c r="I293" s="9" t="str">
        <x:v>-</x:v>
      </x:c>
      <x:c r="J293" s="7" t="str">
        <x:v>No</x:v>
      </x:c>
      <x:c r="K293" s="9" t="n">
        <x:v>0</x:v>
      </x:c>
      <x:c r="L293" s="9" t="n">
        <x:v>0</x:v>
      </x:c>
      <x:c r="M293" s="9" t="n">
        <x:v>5</x:v>
      </x:c>
    </x:row>
    <x:row r="294">
      <x:c r="A294" s="7" t="n">
        <x:v>3523</x:v>
      </x:c>
      <x:c r="B294" s="7" t="str">
        <x:v>Carla Siqueira</x:v>
      </x:c>
      <x:c r="C294" s="7" t="str">
        <x:v>Ultimate</x:v>
      </x:c>
      <x:c r="D294" s="8" t="n">
        <x:v>45640</x:v>
      </x:c>
      <x:c r="E294" s="7" t="str">
        <x:v>No</x:v>
      </x:c>
      <x:c r="F294" s="9" t="n">
        <x:v>15</x:v>
      </x:c>
      <x:c r="G294" s="7" t="str">
        <x:v>Monthly</x:v>
      </x:c>
      <x:c r="H294" s="7" t="str">
        <x:v>Yes</x:v>
      </x:c>
      <x:c r="I294" s="9" t="n">
        <x:v>30</x:v>
      </x:c>
      <x:c r="J294" s="7" t="str">
        <x:v>Yes</x:v>
      </x:c>
      <x:c r="K294" s="9" t="n">
        <x:v>20</x:v>
      </x:c>
      <x:c r="L294" s="9" t="n">
        <x:v>3</x:v>
      </x:c>
      <x:c r="M294" s="9" t="n">
        <x:v>62</x:v>
      </x:c>
    </x:row>
    <x:row r="295">
      <x:c r="A295" s="7" t="n">
        <x:v>3524</x:v>
      </x:c>
      <x:c r="B295" s="7" t="str">
        <x:v>Diogo Ramos</x:v>
      </x:c>
      <x:c r="C295" s="7" t="str">
        <x:v>Standard</x:v>
      </x:c>
      <x:c r="D295" s="8" t="n">
        <x:v>45641</x:v>
      </x:c>
      <x:c r="E295" s="7" t="str">
        <x:v>Yes</x:v>
      </x:c>
      <x:c r="F295" s="9" t="n">
        <x:v>10</x:v>
      </x:c>
      <x:c r="G295" s="7" t="str">
        <x:v>Annual</x:v>
      </x:c>
      <x:c r="H295" s="7" t="str">
        <x:v>No</x:v>
      </x:c>
      <x:c r="I295" s="9" t="str">
        <x:v>-</x:v>
      </x:c>
      <x:c r="J295" s="7" t="str">
        <x:v>Yes</x:v>
      </x:c>
      <x:c r="K295" s="9" t="n">
        <x:v>20</x:v>
      </x:c>
      <x:c r="L295" s="9" t="n">
        <x:v>15</x:v>
      </x:c>
      <x:c r="M295" s="9" t="n">
        <x:v>15</x:v>
      </x:c>
    </x:row>
    <x:row r="296">
      <x:c r="A296" s="7" t="n">
        <x:v>3525</x:v>
      </x:c>
      <x:c r="B296" s="7" t="str">
        <x:v>Elisa Magalhães</x:v>
      </x:c>
      <x:c r="C296" s="7" t="str">
        <x:v>Core</x:v>
      </x:c>
      <x:c r="D296" s="8" t="n">
        <x:v>45642</x:v>
      </x:c>
      <x:c r="E296" s="7" t="str">
        <x:v>No</x:v>
      </x:c>
      <x:c r="F296" s="9" t="n">
        <x:v>5</x:v>
      </x:c>
      <x:c r="G296" s="7" t="str">
        <x:v>Monthly</x:v>
      </x:c>
      <x:c r="H296" s="7" t="str">
        <x:v>No</x:v>
      </x:c>
      <x:c r="I296" s="9" t="str">
        <x:v>-</x:v>
      </x:c>
      <x:c r="J296" s="7" t="str">
        <x:v>No</x:v>
      </x:c>
      <x:c r="K296" s="9" t="n">
        <x:v>0</x:v>
      </x:c>
      <x:c r="L296" s="9" t="n">
        <x:v>1</x:v>
      </x:c>
      <x:c r="M296" s="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7ebdb15269f4546"/>
  </x:tableParts>
</x:worksheet>
</file>